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Inputs" sheetId="2" state="visible" r:id="rId2"/>
    <sheet xmlns:r="http://schemas.openxmlformats.org/officeDocument/2006/relationships" name="Countries" sheetId="3" state="visible" r:id="rId3"/>
    <sheet xmlns:r="http://schemas.openxmlformats.org/officeDocument/2006/relationships" name="Sources" sheetId="4" state="visible" r:id="rId4"/>
    <sheet xmlns:r="http://schemas.openxmlformats.org/officeDocument/2006/relationships" name="Client_Exposure" sheetId="5" state="visible" r:id="rId5"/>
    <sheet xmlns:r="http://schemas.openxmlformats.org/officeDocument/2006/relationships" name="Sub_Markets" sheetId="6" state="visible" r:id="rId6"/>
    <sheet xmlns:r="http://schemas.openxmlformats.org/officeDocument/2006/relationships" name="Taxonomy" sheetId="7" state="visible" r:id="rId7"/>
    <sheet xmlns:r="http://schemas.openxmlformats.org/officeDocument/2006/relationships" name="NBSAP_Commitments" sheetId="8" state="visible" r:id="rId8"/>
    <sheet xmlns:r="http://schemas.openxmlformats.org/officeDocument/2006/relationships" name="NBSAP_Targets" sheetId="9" state="visible" r:id="rId9"/>
    <sheet xmlns:r="http://schemas.openxmlformats.org/officeDocument/2006/relationships" name="Evidence_Log" sheetId="10" state="visible" r:id="rId10"/>
    <sheet xmlns:r="http://schemas.openxmlformats.org/officeDocument/2006/relationships" name="NBSAP_Mapping" sheetId="11" state="visible" r:id="rId11"/>
    <sheet xmlns:r="http://schemas.openxmlformats.org/officeDocument/2006/relationships" name="Rubric" sheetId="12" state="visible" r:id="rId12"/>
    <sheet xmlns:r="http://schemas.openxmlformats.org/officeDocument/2006/relationships" name="Scoring" sheetId="13" state="visible" r:id="rId13"/>
    <sheet xmlns:r="http://schemas.openxmlformats.org/officeDocument/2006/relationships" name="Slide_Content" sheetId="14" state="visible" r:id="rId14"/>
    <sheet xmlns:r="http://schemas.openxmlformats.org/officeDocument/2006/relationships" name="QA_Log" sheetId="15" state="visible" r:id="rId15"/>
  </sheets>
  <definedNames/>
  <calcPr calcId="124519" fullCalcOnLoad="1"/>
</workbook>
</file>

<file path=xl/styles.xml><?xml version="1.0" encoding="utf-8"?>
<styleSheet xmlns="http://schemas.openxmlformats.org/spreadsheetml/2006/main">
  <numFmts count="4">
    <numFmt numFmtId="164" formatCode="0.0%"/>
    <numFmt numFmtId="165" formatCode="#,##0.00;-#,##0.00;-"/>
    <numFmt numFmtId="166" formatCode="0.0"/>
    <numFmt numFmtId="167" formatCode="0.00000"/>
  </numFmts>
  <fonts count="9">
    <font>
      <name val="Calibri"/>
      <family val="2"/>
      <color theme="1"/>
      <sz val="11"/>
      <scheme val="minor"/>
    </font>
    <font>
      <name val="Arial"/>
      <b val="1"/>
      <sz val="14"/>
    </font>
    <font>
      <name val="Arial"/>
      <sz val="10"/>
    </font>
    <font>
      <name val="Arial"/>
      <b val="1"/>
      <sz val="10"/>
    </font>
    <font>
      <name val="Arial"/>
      <b val="1"/>
      <color rgb="00FFE600"/>
      <sz val="10"/>
    </font>
    <font>
      <name val="Arial"/>
      <color rgb="000000FF"/>
      <sz val="10"/>
    </font>
    <font>
      <name val="Arial"/>
      <i val="1"/>
      <color rgb="00595959"/>
      <sz val="9"/>
    </font>
    <font>
      <name val="Arial"/>
      <color rgb="00008000"/>
      <sz val="10"/>
    </font>
    <font>
      <name val="Arial"/>
      <i val="1"/>
      <color rgb="000000FF"/>
      <sz val="10"/>
    </font>
  </fonts>
  <fills count="3">
    <fill>
      <patternFill/>
    </fill>
    <fill>
      <patternFill patternType="gray125"/>
    </fill>
    <fill>
      <patternFill patternType="solid">
        <fgColor rgb="002E2E3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3"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6" fillId="0" borderId="0" pivotButton="0" quotePrefix="0" xfId="0"/>
    <xf numFmtId="3" fontId="8" fillId="0" borderId="1" applyAlignment="1" pivotButton="0" quotePrefix="0" xfId="0">
      <alignment vertical="top" wrapText="1"/>
    </xf>
    <xf numFmtId="164" fontId="8" fillId="0" borderId="1" applyAlignment="1" pivotButton="0" quotePrefix="0" xfId="0">
      <alignment vertical="top" wrapText="1"/>
    </xf>
    <xf numFmtId="1" fontId="7" fillId="0" borderId="1" applyAlignment="1" pivotButton="0" quotePrefix="0" xfId="0">
      <alignment vertical="top" wrapText="1"/>
    </xf>
    <xf numFmtId="165" fontId="7" fillId="0" borderId="1" applyAlignment="1" pivotButton="0" quotePrefix="0" xfId="0">
      <alignment vertical="top" wrapText="1"/>
    </xf>
    <xf numFmtId="2" fontId="2" fillId="0" borderId="1" applyAlignment="1" pivotButton="0" quotePrefix="0" xfId="0">
      <alignment vertical="top" wrapText="1"/>
    </xf>
    <xf numFmtId="1" fontId="2" fillId="0" borderId="1" applyAlignment="1" pivotButton="0" quotePrefix="0" xfId="0">
      <alignment vertical="top" wrapText="1"/>
    </xf>
    <xf numFmtId="3" fontId="5" fillId="0" borderId="1" applyAlignment="1" pivotButton="0" quotePrefix="0" xfId="0">
      <alignment vertical="top" wrapText="1"/>
    </xf>
    <xf numFmtId="0" fontId="4" fillId="2" borderId="0" pivotButton="0" quotePrefix="0" xfId="0"/>
    <xf numFmtId="0" fontId="2" fillId="0" borderId="1" applyAlignment="1" pivotButton="0" quotePrefix="0" xfId="0">
      <alignment vertical="top" wrapText="1"/>
    </xf>
    <xf numFmtId="9" fontId="5" fillId="0" borderId="1" applyAlignment="1" pivotButton="0" quotePrefix="0" xfId="0">
      <alignment vertical="top" wrapText="1"/>
    </xf>
    <xf numFmtId="9" fontId="3" fillId="0" borderId="1" applyAlignment="1" pivotButton="0" quotePrefix="0" xfId="0">
      <alignment vertical="top" wrapText="1"/>
    </xf>
    <xf numFmtId="166" fontId="5" fillId="0" borderId="1" applyAlignment="1" pivotButton="0" quotePrefix="0" xfId="0">
      <alignment vertical="top" wrapText="1"/>
    </xf>
    <xf numFmtId="1" fontId="5" fillId="0" borderId="1" applyAlignment="1" pivotButton="0" quotePrefix="0" xfId="0">
      <alignment vertical="top" wrapText="1"/>
    </xf>
    <xf numFmtId="2" fontId="5" fillId="0" borderId="1" applyAlignment="1" pivotButton="0" quotePrefix="0" xfId="0">
      <alignment vertical="top" wrapText="1"/>
    </xf>
    <xf numFmtId="166" fontId="2" fillId="0" borderId="1" applyAlignment="1" pivotButton="0" quotePrefix="0" xfId="0">
      <alignment vertical="top" wrapText="1"/>
    </xf>
    <xf numFmtId="167"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115" customWidth="1" min="2" max="2"/>
  </cols>
  <sheetData>
    <row r="1">
      <c r="A1" s="1" t="inlineStr">
        <is>
          <t>Nature Opportunity Master Template</t>
        </is>
      </c>
      <c r="B1" s="2" t="inlineStr"/>
    </row>
    <row r="2">
      <c r="A2" s="3" t="inlineStr">
        <is>
          <t>Purpose</t>
        </is>
      </c>
      <c r="B2" s="2" t="inlineStr">
        <is>
          <t>Reusable workbook for any client and any country in the EY NBSAP Nature Sizing workbook. Copilot (or an analyst) fills the blue input tabs; Excel calculates scores, tiers, ranks and confidence.</t>
        </is>
      </c>
    </row>
    <row r="3">
      <c r="A3" s="3" t="inlineStr">
        <is>
          <t>How to start a new client</t>
        </is>
      </c>
      <c r="B3" s="2" t="inlineStr">
        <is>
          <t>1) Save a copy named &lt;Client&gt;_&lt;Country&gt;_Nature_Mapping.xlsx. 2) Inputs: set Client, Country_ID (e.g. GBR, FRA, CAN), sector, as-at date. 3) Refresh NBSAP_Commitments and Taxonomy from the latest EY NBSAP workbook if it has changed. 4) Paste Copilot outputs into Sources, Client_Exposure, Evidence_Log, NBSAP_Mapping and the blue columns of Scoring. 5) Check QA_Log is all Pass.</t>
        </is>
      </c>
    </row>
    <row r="4">
      <c r="A4" s="3" t="inlineStr">
        <is>
          <t>What makes it country-agnostic</t>
        </is>
      </c>
      <c r="B4" s="2" t="inlineStr">
        <is>
          <t>NBSAP commitments are filtered by Inputs!Country_ID. Values use the USD column from the EY workbook. C5 (market opportunity) is scored on relative rank within the chosen country, so currency and economy size do not distort scores.</t>
        </is>
      </c>
    </row>
    <row r="5">
      <c r="A5" s="3" t="inlineStr">
        <is>
          <t>Colour legend</t>
        </is>
      </c>
      <c r="B5" s="2" t="inlineStr">
        <is>
          <t>Blue text = input (paste or type). Black = formula. Green = pulled from another tab. Yellow fill = check before use. Rows marked EXAMPLE are illustrative – delete them.</t>
        </is>
      </c>
    </row>
    <row r="6">
      <c r="A6" s="3" t="inlineStr">
        <is>
          <t>Tabs</t>
        </is>
      </c>
      <c r="B6" s="2" t="inlineStr">
        <is>
          <t>Inputs | Sources | Client_Exposure | Taxonomy | Sub_Markets | NBSAP_Commitments | NBSAP_Targets | Evidence_Log | NBSAP_Mapping | Rubric | Scoring | QA_Log</t>
        </is>
      </c>
    </row>
    <row r="7">
      <c r="A7" s="3" t="inlineStr">
        <is>
          <t>Known data caveats</t>
        </is>
      </c>
      <c r="B7" s="2" t="inlineStr">
        <is>
          <t>EY NBSAP workbook: some Market_ID tags differ from the sub-market parent; this template always uses the sub-market parent. Commitment values are indicative (timeframes vary, some overlap). Only some countries have NBSAP_Target_Ref populated – complete NBSAP_Targets for the country you are running.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20" customWidth="1" min="1" max="1"/>
    <col width="40" customWidth="1" min="2" max="2"/>
    <col width="70" customWidth="1" min="3" max="3"/>
  </cols>
  <sheetData>
    <row r="1">
      <c r="A1" s="1" t="inlineStr">
        <is>
          <t>Inputs</t>
        </is>
      </c>
    </row>
    <row r="4">
      <c r="A4" s="4" t="inlineStr">
        <is>
          <t>Field</t>
        </is>
      </c>
      <c r="B4" s="4" t="inlineStr">
        <is>
          <t>Value</t>
        </is>
      </c>
      <c r="C4" s="4" t="inlineStr">
        <is>
          <t>Note</t>
        </is>
      </c>
    </row>
    <row r="5">
      <c r="A5" s="5" t="inlineStr">
        <is>
          <t>Client</t>
        </is>
      </c>
      <c r="B5" s="6" t="inlineStr">
        <is>
          <t>[Client name]</t>
        </is>
      </c>
      <c r="C5" s="7" t="inlineStr">
        <is>
          <t>Full name and short name, e.g. Lloyds Banking Group (LBG)</t>
        </is>
      </c>
    </row>
    <row r="6">
      <c r="A6" s="5" t="inlineStr">
        <is>
          <t>Country_ID</t>
        </is>
      </c>
      <c r="B6" s="6" t="inlineStr">
        <is>
          <t>GBR</t>
        </is>
      </c>
      <c r="C6" s="7" t="inlineStr">
        <is>
          <t>ISO-3 code from the Countries tab of the EY NBSAP workbook</t>
        </is>
      </c>
    </row>
    <row r="7">
      <c r="A7" s="5" t="inlineStr">
        <is>
          <t>Country name</t>
        </is>
      </c>
      <c r="B7" s="8">
        <f>IFERROR(INDEX(Countries!B:B,MATCH(B6,Countries!A:A,0)),"Unknown Country_ID")</f>
        <v/>
      </c>
      <c r="C7" s="7" t="inlineStr">
        <is>
          <t>Formula</t>
        </is>
      </c>
    </row>
    <row r="8">
      <c r="A8" s="5" t="inlineStr">
        <is>
          <t>NBSAP document</t>
        </is>
      </c>
      <c r="B8" s="8">
        <f>IFERROR(INDEX(Countries!F:F,MATCH(B6,Countries!A:A,0)),"")</f>
        <v/>
      </c>
      <c r="C8" s="7" t="inlineStr">
        <is>
          <t>Formula</t>
        </is>
      </c>
    </row>
    <row r="9">
      <c r="A9" s="5" t="inlineStr">
        <is>
          <t>Sector</t>
        </is>
      </c>
      <c r="B9" s="6" t="inlineStr">
        <is>
          <t>[e.g. Banking and financial services]</t>
        </is>
      </c>
      <c r="C9" s="7" t="inlineStr"/>
    </row>
    <row r="10">
      <c r="A10" s="5" t="inlineStr">
        <is>
          <t>Audience</t>
        </is>
      </c>
      <c r="B10" s="6" t="inlineStr">
        <is>
          <t>Internal (EY partner)</t>
        </is>
      </c>
      <c r="C10" s="7" t="inlineStr">
        <is>
          <t>Internal or External</t>
        </is>
      </c>
    </row>
    <row r="11">
      <c r="A11" s="5" t="inlineStr">
        <is>
          <t>As-at date</t>
        </is>
      </c>
      <c r="B11" s="6" t="inlineStr">
        <is>
          <t>[DD/MM/YYYY]</t>
        </is>
      </c>
      <c r="C11" s="7" t="inlineStr"/>
    </row>
    <row r="12">
      <c r="A12" s="5" t="inlineStr">
        <is>
          <t>Prepared by</t>
        </is>
      </c>
      <c r="B12" s="6" t="inlineStr">
        <is>
          <t>EY CCaSS</t>
        </is>
      </c>
      <c r="C12" s="7" t="inlineStr">
        <is>
          <t>No individual names in client outputs</t>
        </is>
      </c>
    </row>
  </sheetData>
  <dataValidations count="1">
    <dataValidation sqref="B6" showDropDown="0" showInputMessage="0" showErrorMessage="0" allowBlank="0" type="list">
      <formula1>=Countries!$A$5:$A$40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0" customWidth="1" min="5" max="5"/>
    <col width="60" customWidth="1" min="6" max="6"/>
  </cols>
  <sheetData>
    <row r="1">
      <c r="A1" s="1" t="inlineStr">
        <is>
          <t>Countries (from EY NBSAP workbook)</t>
        </is>
      </c>
    </row>
    <row r="4">
      <c r="A4" s="4" t="inlineStr">
        <is>
          <t>Country_ID</t>
        </is>
      </c>
      <c r="B4" s="4" t="inlineStr">
        <is>
          <t>Country_Name</t>
        </is>
      </c>
      <c r="C4" s="4" t="inlineStr">
        <is>
          <t>Region</t>
        </is>
      </c>
      <c r="D4" s="4" t="inlineStr">
        <is>
          <t>NBSAP_Status</t>
        </is>
      </c>
      <c r="E4" s="4" t="inlineStr">
        <is>
          <t>NBSAP_Year</t>
        </is>
      </c>
      <c r="F4" s="4" t="inlineStr">
        <is>
          <t>NBSAP document</t>
        </is>
      </c>
    </row>
    <row r="5">
      <c r="A5" s="6" t="inlineStr">
        <is>
          <t>GBR</t>
        </is>
      </c>
      <c r="B5" s="6" t="inlineStr">
        <is>
          <t>United Kingdom</t>
        </is>
      </c>
      <c r="C5" s="6" t="inlineStr">
        <is>
          <t>EU</t>
        </is>
      </c>
      <c r="D5" s="6" t="inlineStr">
        <is>
          <t>Published</t>
        </is>
      </c>
      <c r="E5" s="6" t="n">
        <v>2025</v>
      </c>
      <c r="F5" s="6" t="inlineStr">
        <is>
          <t>Environmental Improvement Plan 2025</t>
        </is>
      </c>
    </row>
    <row r="6">
      <c r="A6" s="6" t="inlineStr">
        <is>
          <t>CAN</t>
        </is>
      </c>
      <c r="B6" s="6" t="inlineStr">
        <is>
          <t>Canada</t>
        </is>
      </c>
      <c r="C6" s="6" t="inlineStr">
        <is>
          <t>North America</t>
        </is>
      </c>
      <c r="D6" s="6" t="inlineStr">
        <is>
          <t>Published</t>
        </is>
      </c>
      <c r="E6" s="6" t="n">
        <v>2024</v>
      </c>
      <c r="F6" s="6" t="inlineStr">
        <is>
          <t>Canada's 2030 Nature Strategy</t>
        </is>
      </c>
    </row>
    <row r="7">
      <c r="A7" s="6" t="inlineStr">
        <is>
          <t>QAT</t>
        </is>
      </c>
      <c r="B7" s="6" t="inlineStr">
        <is>
          <t>Qatar</t>
        </is>
      </c>
      <c r="C7" s="6" t="inlineStr">
        <is>
          <t>Middle East</t>
        </is>
      </c>
      <c r="D7" s="6" t="inlineStr">
        <is>
          <t>Outdated</t>
        </is>
      </c>
      <c r="E7" s="6" t="n">
        <v>2015</v>
      </c>
      <c r="F7" s="6" t="inlineStr">
        <is>
          <t>CBD Strategy and Action Plan - Qatar (English version)</t>
        </is>
      </c>
    </row>
    <row r="8">
      <c r="A8" s="6" t="inlineStr">
        <is>
          <t>SAU</t>
        </is>
      </c>
      <c r="B8" s="6" t="inlineStr">
        <is>
          <t>Saudi Arabia</t>
        </is>
      </c>
      <c r="C8" s="6" t="inlineStr">
        <is>
          <t>Middle East</t>
        </is>
      </c>
      <c r="D8" s="6" t="inlineStr">
        <is>
          <t>Published</t>
        </is>
      </c>
      <c r="E8" s="6" t="n">
        <v>2025</v>
      </c>
      <c r="F8" s="6" t="inlineStr">
        <is>
          <t>Comprehensive Framework for Biodiversity</t>
        </is>
      </c>
    </row>
    <row r="9">
      <c r="A9" s="6" t="inlineStr">
        <is>
          <t>ARE</t>
        </is>
      </c>
      <c r="B9" s="6" t="inlineStr">
        <is>
          <t>United Arab Emirates</t>
        </is>
      </c>
      <c r="C9" s="6" t="inlineStr">
        <is>
          <t>Middle East</t>
        </is>
      </c>
      <c r="D9" s="6" t="inlineStr">
        <is>
          <t>Published</t>
        </is>
      </c>
      <c r="E9" s="6" t="n">
        <v>2024</v>
      </c>
      <c r="F9" s="6" t="inlineStr">
        <is>
          <t>Framework for Biodiversity Strategy</t>
        </is>
      </c>
    </row>
    <row r="10">
      <c r="A10" s="6" t="inlineStr">
        <is>
          <t>FRA</t>
        </is>
      </c>
      <c r="B10" s="6" t="inlineStr">
        <is>
          <t>France</t>
        </is>
      </c>
      <c r="C10" s="6" t="inlineStr">
        <is>
          <t>EU</t>
        </is>
      </c>
      <c r="D10" s="6" t="inlineStr">
        <is>
          <t>Published</t>
        </is>
      </c>
      <c r="E10" s="6" t="n">
        <v>2023</v>
      </c>
      <c r="F10" s="6" t="inlineStr">
        <is>
          <t>National Biodiversity Strategy 2030</t>
        </is>
      </c>
    </row>
    <row r="11">
      <c r="A11" s="6" t="inlineStr">
        <is>
          <t>ESP</t>
        </is>
      </c>
      <c r="B11" s="6" t="inlineStr">
        <is>
          <t>Spain</t>
        </is>
      </c>
      <c r="C11" s="6" t="inlineStr">
        <is>
          <t>EU</t>
        </is>
      </c>
      <c r="D11" s="6" t="inlineStr">
        <is>
          <t>Published</t>
        </is>
      </c>
      <c r="E11" s="6" t="n">
        <v>2022</v>
      </c>
      <c r="F11" s="6" t="inlineStr">
        <is>
          <t>State Strategic Plan for Natural Heritage and Biodiversity to 2030</t>
        </is>
      </c>
    </row>
    <row r="12">
      <c r="A12" s="6" t="inlineStr">
        <is>
          <t>DEU</t>
        </is>
      </c>
      <c r="B12" s="6" t="inlineStr">
        <is>
          <t>Germany</t>
        </is>
      </c>
      <c r="C12" s="6" t="inlineStr">
        <is>
          <t>EU</t>
        </is>
      </c>
      <c r="D12" s="6" t="inlineStr">
        <is>
          <t>Published</t>
        </is>
      </c>
      <c r="E12" s="6" t="n">
        <v>2025</v>
      </c>
      <c r="F12" s="6" t="inlineStr">
        <is>
          <t>National Biodiversity Strategy 2030</t>
        </is>
      </c>
    </row>
    <row r="13">
      <c r="A13" s="6" t="inlineStr">
        <is>
          <t>IRL</t>
        </is>
      </c>
      <c r="B13" s="6" t="inlineStr">
        <is>
          <t>Ireland</t>
        </is>
      </c>
      <c r="C13" s="6" t="inlineStr">
        <is>
          <t>EU</t>
        </is>
      </c>
      <c r="D13" s="6" t="inlineStr">
        <is>
          <t>Published</t>
        </is>
      </c>
      <c r="E13" s="6" t="n">
        <v>2023</v>
      </c>
      <c r="F13" s="6" t="inlineStr">
        <is>
          <t>National Biodiversity Action Plan 2023-2030</t>
        </is>
      </c>
    </row>
    <row r="14">
      <c r="A14" s="6" t="inlineStr">
        <is>
          <t>PRT</t>
        </is>
      </c>
      <c r="B14" s="6" t="inlineStr">
        <is>
          <t>Portugal</t>
        </is>
      </c>
      <c r="C14" s="6" t="inlineStr">
        <is>
          <t>EU</t>
        </is>
      </c>
      <c r="D14" s="6" t="inlineStr">
        <is>
          <t>Not published</t>
        </is>
      </c>
      <c r="E14" s="6" t="inlineStr">
        <is>
          <t>N/A</t>
        </is>
      </c>
      <c r="F14" s="6" t="inlineStr">
        <is>
          <t>N/A</t>
        </is>
      </c>
    </row>
    <row r="15">
      <c r="A15" s="6" t="inlineStr">
        <is>
          <t>ITA</t>
        </is>
      </c>
      <c r="B15" s="6" t="inlineStr">
        <is>
          <t>Italy</t>
        </is>
      </c>
      <c r="C15" s="6" t="inlineStr">
        <is>
          <t>EU</t>
        </is>
      </c>
      <c r="D15" s="6" t="inlineStr">
        <is>
          <t>Published</t>
        </is>
      </c>
      <c r="E15" s="6" t="n">
        <v>2024</v>
      </c>
      <c r="F15" s="6" t="inlineStr">
        <is>
          <t>Italina Biodiversity Strategy 2030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pane ySplit="4" topLeftCell="A5" activePane="bottomLeft" state="frozen"/>
      <selection pane="bottomLeft" activeCell="A1" sqref="A1"/>
    </sheetView>
  </sheetViews>
  <sheetFormatPr baseColWidth="8" defaultRowHeight="15"/>
  <cols>
    <col width="10" customWidth="1" min="1" max="1"/>
    <col width="45" customWidth="1" min="2" max="2"/>
    <col width="22" customWidth="1" min="3" max="3"/>
    <col width="7" customWidth="1" min="4" max="4"/>
    <col width="24" customWidth="1" min="5" max="5"/>
    <col width="40" customWidth="1" min="6" max="6"/>
    <col width="13" customWidth="1" min="7" max="7"/>
    <col width="10" customWidth="1" min="8" max="8"/>
    <col width="50" customWidth="1" min="9" max="9"/>
  </cols>
  <sheetData>
    <row r="1">
      <c r="A1" s="1" t="inlineStr">
        <is>
          <t>Sources</t>
        </is>
      </c>
    </row>
    <row r="4">
      <c r="A4" s="4" t="inlineStr">
        <is>
          <t>Source_ID</t>
        </is>
      </c>
      <c r="B4" s="4" t="inlineStr">
        <is>
          <t>Title</t>
        </is>
      </c>
      <c r="C4" s="4" t="inlineStr">
        <is>
          <t>Publisher</t>
        </is>
      </c>
      <c r="D4" s="4" t="inlineStr">
        <is>
          <t>Year</t>
        </is>
      </c>
      <c r="E4" s="4" t="inlineStr">
        <is>
          <t>Type</t>
        </is>
      </c>
      <c r="F4" s="4" t="inlineStr">
        <is>
          <t>Location / URL</t>
        </is>
      </c>
      <c r="G4" s="4" t="inlineStr">
        <is>
          <t>Date accessed</t>
        </is>
      </c>
      <c r="H4" s="4" t="inlineStr">
        <is>
          <t>Included (Y/N)</t>
        </is>
      </c>
      <c r="I4" s="4" t="inlineStr">
        <is>
          <t>Reason / note</t>
        </is>
      </c>
    </row>
    <row r="5">
      <c r="A5" s="9" t="inlineStr">
        <is>
          <t>SRC-01</t>
        </is>
      </c>
      <c r="B5" s="9" t="inlineStr">
        <is>
          <t>[Client] Sustainability Report 2025</t>
        </is>
      </c>
      <c r="C5" s="9" t="inlineStr">
        <is>
          <t>[Client]</t>
        </is>
      </c>
      <c r="D5" s="9" t="inlineStr">
        <is>
          <t>2026</t>
        </is>
      </c>
      <c r="E5" s="9" t="inlineStr">
        <is>
          <t>Annual / sustainability report</t>
        </is>
      </c>
      <c r="F5" s="9" t="inlineStr">
        <is>
          <t>[file name]</t>
        </is>
      </c>
      <c r="G5" s="9" t="inlineStr">
        <is>
          <t>[date]</t>
        </is>
      </c>
      <c r="H5" s="9" t="inlineStr">
        <is>
          <t>Y</t>
        </is>
      </c>
      <c r="I5" s="9" t="inlineStr">
        <is>
          <t>EXAMPLE – delete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
  <sheetViews>
    <sheetView workbookViewId="0">
      <pane ySplit="4" topLeftCell="A5" activePane="bottomLeft" state="frozen"/>
      <selection pane="bottomLeft" activeCell="A1" sqref="A1"/>
    </sheetView>
  </sheetViews>
  <sheetFormatPr baseColWidth="8" defaultRowHeight="15"/>
  <cols>
    <col width="10" customWidth="1" min="1" max="1"/>
    <col width="30" customWidth="1" min="2" max="2"/>
    <col width="30" customWidth="1" min="3" max="3"/>
    <col width="16" customWidth="1" min="4" max="4"/>
    <col width="9" customWidth="1" min="5" max="5"/>
    <col width="18" customWidth="1" min="6" max="6"/>
    <col width="12" customWidth="1" min="7" max="7"/>
    <col width="24" customWidth="1" min="8" max="8"/>
    <col width="22" customWidth="1" min="9" max="9"/>
  </cols>
  <sheetData>
    <row r="1">
      <c r="A1" s="1" t="inlineStr">
        <is>
          <t>Client portfolio exposure by sector</t>
        </is>
      </c>
    </row>
    <row r="2">
      <c r="A2" s="10" t="inlineStr">
        <is>
          <t>Copy figures exactly as disclosed (e.g. TNFD priority sectors, concentration of exposure tables). Do not estimate.</t>
        </is>
      </c>
    </row>
    <row r="4">
      <c r="A4" s="4" t="inlineStr">
        <is>
          <t>Source_ID</t>
        </is>
      </c>
      <c r="B4" s="4" t="inlineStr">
        <is>
          <t>Sector (as disclosed)</t>
        </is>
      </c>
      <c r="C4" s="4" t="inlineStr">
        <is>
          <t>Sub-sector</t>
        </is>
      </c>
      <c r="D4" s="4" t="inlineStr">
        <is>
          <t>Exposure (m, reporting currency)</t>
        </is>
      </c>
      <c r="E4" s="4" t="inlineStr">
        <is>
          <t>Currency</t>
        </is>
      </c>
      <c r="F4" s="4" t="inlineStr">
        <is>
          <t>Nature priority (as disclosed)</t>
        </is>
      </c>
      <c r="G4" s="4" t="inlineStr">
        <is>
          <t>% of total exposure</t>
        </is>
      </c>
      <c r="H4" s="4" t="inlineStr">
        <is>
          <t>Linked SubTheme_IDs</t>
        </is>
      </c>
      <c r="I4" s="4" t="inlineStr">
        <is>
          <t>Reference (tab/page)</t>
        </is>
      </c>
    </row>
    <row r="5">
      <c r="A5" s="9" t="inlineStr">
        <is>
          <t>SRC-02</t>
        </is>
      </c>
      <c r="B5" s="9" t="inlineStr">
        <is>
          <t>Agriculture, forestry and fishing</t>
        </is>
      </c>
      <c r="C5" s="9" t="inlineStr">
        <is>
          <t>Agriculture</t>
        </is>
      </c>
      <c r="D5" s="11" t="n">
        <v>6695</v>
      </c>
      <c r="E5" s="9" t="inlineStr">
        <is>
          <t>GBP</t>
        </is>
      </c>
      <c r="F5" s="9" t="inlineStr">
        <is>
          <t>Yes</t>
        </is>
      </c>
      <c r="G5" s="12" t="n">
        <v>0.01</v>
      </c>
      <c r="H5" s="9" t="inlineStr">
        <is>
          <t>AFF02</t>
        </is>
      </c>
      <c r="I5" s="9" t="inlineStr">
        <is>
          <t>Data sheet tab 18 – EXAMPLE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77"/>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40" customWidth="1" min="3" max="3"/>
    <col width="80" customWidth="1" min="4" max="4"/>
    <col width="26" customWidth="1" min="5" max="5"/>
  </cols>
  <sheetData>
    <row r="1">
      <c r="A1" s="1" t="inlineStr">
        <is>
          <t>Sub-markets (from EY NBSAP workbook)</t>
        </is>
      </c>
    </row>
    <row r="4">
      <c r="A4" s="4" t="inlineStr">
        <is>
          <t>Sub_Market_ID</t>
        </is>
      </c>
      <c r="B4" s="4" t="inlineStr">
        <is>
          <t>SubTheme_ID (parent)</t>
        </is>
      </c>
      <c r="C4" s="4" t="inlineStr">
        <is>
          <t>Sub-market</t>
        </is>
      </c>
      <c r="D4" s="4" t="inlineStr">
        <is>
          <t>Description</t>
        </is>
      </c>
      <c r="E4" s="4" t="inlineStr">
        <is>
          <t>Field of play</t>
        </is>
      </c>
    </row>
    <row r="5">
      <c r="A5" s="6" t="inlineStr">
        <is>
          <t>WU01</t>
        </is>
      </c>
      <c r="B5" s="6" t="inlineStr">
        <is>
          <t>W01</t>
        </is>
      </c>
      <c r="C5" s="6" t="inlineStr">
        <is>
          <t>AgTech and irrigation efficiency</t>
        </is>
      </c>
      <c r="D5" s="6" t="inlineStr">
        <is>
          <t>Technologies and practices that improve water use efficiency in agriculture, including precision irrigation (e.g. drip and micro‑irrigation), soil‑moisture sensing, digital farm management tools, and automated control systems, with the objective of reducing water withdrawals while maintaining or increasing crop yields.</t>
        </is>
      </c>
      <c r="E5" s="6" t="inlineStr">
        <is>
          <t>Technology development and R&amp;D</t>
        </is>
      </c>
    </row>
    <row r="6">
      <c r="A6" s="6" t="inlineStr">
        <is>
          <t>WU02</t>
        </is>
      </c>
      <c r="B6" s="6" t="inlineStr">
        <is>
          <t>W01</t>
        </is>
      </c>
      <c r="C6" s="6" t="inlineStr">
        <is>
          <t>Leak detection systems</t>
        </is>
      </c>
      <c r="D6" s="6" t="inlineStr">
        <is>
          <t>Hardware and software solutions used to identify, locate, and quantify water losses in distribution and transmission networks, including acoustic sensors, pressure and flow monitoring, satellite and drone detection, and AI‑based analytics, aimed at reducing non‑revenue water.</t>
        </is>
      </c>
      <c r="E6" s="6" t="inlineStr">
        <is>
          <t>Technology development and R&amp;D</t>
        </is>
      </c>
    </row>
    <row r="7">
      <c r="A7" s="6" t="inlineStr">
        <is>
          <t>WU03</t>
        </is>
      </c>
      <c r="B7" s="6" t="inlineStr">
        <is>
          <t>W01</t>
        </is>
      </c>
      <c r="C7" s="6" t="inlineStr">
        <is>
          <t>Smart meters</t>
        </is>
      </c>
      <c r="D7" s="6" t="inlineStr">
        <is>
          <t>Digitally enabled water meters that provide real‑time or near‑real‑time measurement of water consumption, enabling remote reading, demand management, leak detection at the customer level, and data‑driven pricing and conservation strategies.</t>
        </is>
      </c>
      <c r="E7" s="6" t="inlineStr">
        <is>
          <t>Technology development and R&amp;D</t>
        </is>
      </c>
    </row>
    <row r="8">
      <c r="A8" s="6" t="inlineStr">
        <is>
          <t>WU04</t>
        </is>
      </c>
      <c r="B8" s="6" t="inlineStr">
        <is>
          <t>W01</t>
        </is>
      </c>
      <c r="C8" s="6" t="inlineStr">
        <is>
          <t>Water cycle digitalisation</t>
        </is>
      </c>
      <c r="D8" s="6" t="inlineStr">
        <is>
          <t>The application of digital technologies across the entire urban and industrial water cycle—from abstraction and treatment to distribution, wastewater, and reuse—using sensors, data platforms, AI, and digital twins to optimise performance, resilience, and regulatory compliance.</t>
        </is>
      </c>
      <c r="E8" s="6" t="inlineStr">
        <is>
          <t>Technology development and R&amp;D</t>
        </is>
      </c>
    </row>
    <row r="9">
      <c r="A9" s="6" t="inlineStr">
        <is>
          <t>WU07</t>
        </is>
      </c>
      <c r="B9" s="6" t="inlineStr">
        <is>
          <t>W01</t>
        </is>
      </c>
      <c r="C9" s="6" t="inlineStr">
        <is>
          <t>Industrial process water efficiency</t>
        </is>
      </c>
      <c r="D9" s="6" t="inlineStr">
        <is>
          <t>Technologies and operational improvements that reduce water use, losses, and contamination in industrial processes, including closed‑loop systems, water recycling, advanced cooling, and process optimisation to lower operational costs and environmental impacts.</t>
        </is>
      </c>
      <c r="E9" s="6" t="inlineStr">
        <is>
          <t>Technology development and R&amp;D</t>
        </is>
      </c>
    </row>
    <row r="10">
      <c r="A10" s="6" t="inlineStr">
        <is>
          <t>WU08</t>
        </is>
      </c>
      <c r="B10" s="6" t="inlineStr">
        <is>
          <t>W01</t>
        </is>
      </c>
      <c r="C10" s="6" t="inlineStr">
        <is>
          <t>Nuclear cooling water efficiency</t>
        </is>
      </c>
      <c r="D10" s="6" t="inlineStr">
        <is>
          <t>Specialised systems and technologies that optimise water use for nuclear power plant cooling, including closed‑cycle cooling, cooling towers, advanced heat exchange systems, and water reuse, aimed at reducing abstraction pressures and thermal impacts on water bodies.</t>
        </is>
      </c>
      <c r="E10" s="6" t="inlineStr">
        <is>
          <t>Technology development and R&amp;D</t>
        </is>
      </c>
    </row>
    <row r="11">
      <c r="A11" s="6" t="inlineStr">
        <is>
          <t>WU09</t>
        </is>
      </c>
      <c r="B11" s="6" t="inlineStr">
        <is>
          <t>W02</t>
        </is>
      </c>
      <c r="C11" s="6" t="inlineStr">
        <is>
          <t>Wastewater treatment</t>
        </is>
      </c>
      <c r="D11" s="6" t="inlineStr">
        <is>
          <t>Physical, chemical, and biological processes used to remove pollutants from wastewater before discharge or reuse, encompassing primary, secondary, and tertiary treatment, nutrient removal, and advanced treatment technologies for emerging contaminants.</t>
        </is>
      </c>
      <c r="E11" s="6" t="inlineStr">
        <is>
          <t>Business transition</t>
        </is>
      </c>
    </row>
    <row r="12">
      <c r="A12" s="6" t="inlineStr">
        <is>
          <t>WU10</t>
        </is>
      </c>
      <c r="B12" s="6" t="inlineStr">
        <is>
          <t>W02</t>
        </is>
      </c>
      <c r="C12" s="6" t="inlineStr">
        <is>
          <t>Desalination</t>
        </is>
      </c>
      <c r="D12" s="6" t="inlineStr">
        <is>
          <t>Technologies that convert saline or brackish water into freshwater, primarily through reverse osmosis and thermal processes, to augment water supply in water‑stressed regions, often integrated with energy‑efficiency and brine‑management solutions.</t>
        </is>
      </c>
      <c r="E12" s="6" t="inlineStr">
        <is>
          <t>Technology development and R&amp;D</t>
        </is>
      </c>
    </row>
    <row r="13">
      <c r="A13" s="6" t="inlineStr">
        <is>
          <t>WU11</t>
        </is>
      </c>
      <c r="B13" s="6" t="inlineStr">
        <is>
          <t>W02</t>
        </is>
      </c>
      <c r="C13" s="6" t="inlineStr">
        <is>
          <t>Water body conservation</t>
        </is>
      </c>
      <c r="D13" s="6" t="inlineStr">
        <is>
          <t>Activities and investments aimed at protecting and restoring the ecological status of rivers, lakes, and reservoirs, including pollution reduction, habitat restoration, flow management, and monitoring to maintain water quality and ecosystem services.</t>
        </is>
      </c>
      <c r="E13" s="6" t="inlineStr">
        <is>
          <t>Protection &amp; restoration</t>
        </is>
      </c>
    </row>
    <row r="14">
      <c r="A14" s="6" t="inlineStr">
        <is>
          <t>WU12</t>
        </is>
      </c>
      <c r="B14" s="6" t="inlineStr">
        <is>
          <t>W02</t>
        </is>
      </c>
      <c r="C14" s="6" t="inlineStr">
        <is>
          <t>Marine and coastal area protection</t>
        </is>
      </c>
      <c r="D14" s="6" t="inlineStr">
        <is>
          <t>Measures to protect marine and coastal ecosystems from pollution, erosion, and climate impacts, including wastewater outfall management, coastal habitat restoration, nature‑based solutions, and marine spatial planning to safeguard biodiversity and coastal resilience.</t>
        </is>
      </c>
      <c r="E14" s="6" t="inlineStr">
        <is>
          <t>Protection &amp; restoration</t>
        </is>
      </c>
    </row>
    <row r="15">
      <c r="A15" s="6" t="inlineStr">
        <is>
          <t>WU13</t>
        </is>
      </c>
      <c r="B15" s="6" t="inlineStr">
        <is>
          <t>W02</t>
        </is>
      </c>
      <c r="C15" s="6" t="inlineStr">
        <is>
          <t>Groundwater abstraction</t>
        </is>
      </c>
      <c r="D15" s="6" t="inlineStr">
        <is>
          <t>Infrastructure, monitoring, and management systems associated with the extraction of groundwater resources, including wells, pumps, metering, and regulatory controls, designed to ensure sustainable withdrawal and protect aquifer integrity.</t>
        </is>
      </c>
      <c r="E15" s="6" t="inlineStr">
        <is>
          <t>Business transition</t>
        </is>
      </c>
    </row>
    <row r="16">
      <c r="A16" s="6" t="inlineStr">
        <is>
          <t>WU14</t>
        </is>
      </c>
      <c r="B16" s="6" t="inlineStr">
        <is>
          <t>W02</t>
        </is>
      </c>
      <c r="C16" s="6" t="inlineStr">
        <is>
          <t>Wetland and peatland restoration and protection</t>
        </is>
      </c>
      <c r="D16" s="6" t="inlineStr">
        <is>
          <t>Nature‑based solutions focused on restoring and conserving wetlands and peatlands to improve water quality, regulate flows, store carbon, and enhance biodiversity, while reducing flood risk and supporting climate adaptation.</t>
        </is>
      </c>
      <c r="E16" s="6" t="inlineStr">
        <is>
          <t>Protection &amp; restoration</t>
        </is>
      </c>
    </row>
    <row r="17">
      <c r="A17" s="6" t="inlineStr">
        <is>
          <t>WU15</t>
        </is>
      </c>
      <c r="B17" s="6" t="inlineStr">
        <is>
          <t>W03</t>
        </is>
      </c>
      <c r="C17" s="6" t="inlineStr">
        <is>
          <t>Water infrastructure upgrades</t>
        </is>
      </c>
      <c r="D17" s="6" t="inlineStr">
        <is>
          <t>Capital investments to rehabilitate, replace, or modernise water supply and wastewater assets, including pipes, treatment plants, pumping stations, and control systems, addressing ageing infrastructure and capacity constraints</t>
        </is>
      </c>
      <c r="E17" s="6" t="inlineStr">
        <is>
          <t>Business transition</t>
        </is>
      </c>
    </row>
    <row r="18">
      <c r="A18" s="6" t="inlineStr">
        <is>
          <t>WU16</t>
        </is>
      </c>
      <c r="B18" s="6" t="inlineStr">
        <is>
          <t>W03</t>
        </is>
      </c>
      <c r="C18" s="6" t="inlineStr">
        <is>
          <t>Water storage and drought response</t>
        </is>
      </c>
      <c r="D18" s="6" t="inlineStr">
        <is>
          <t>Infrastructure and operational measures that increase water system resilience to drought, including reservoirs, managed aquifer recharge, emergency supply schemes, and demand‑side response mechanisms.</t>
        </is>
      </c>
      <c r="E18" s="6" t="inlineStr">
        <is>
          <t>Business transition</t>
        </is>
      </c>
    </row>
    <row r="19">
      <c r="A19" s="6" t="inlineStr">
        <is>
          <t>WU18</t>
        </is>
      </c>
      <c r="B19" s="6" t="inlineStr">
        <is>
          <t>W03</t>
        </is>
      </c>
      <c r="C19" s="6" t="inlineStr">
        <is>
          <t>Digitalisation of water management systems</t>
        </is>
      </c>
      <c r="D19" s="6" t="inlineStr">
        <is>
          <t>The deployment of integrated digital platforms—such as SCADA, IoT sensors, analytics, and AI—to support real‑time monitoring, predictive maintenance, regulatory reporting, and strategic decision‑making across water utilities and authorities.</t>
        </is>
      </c>
      <c r="E19" s="6" t="inlineStr">
        <is>
          <t>Technology development and R&amp;D</t>
        </is>
      </c>
    </row>
    <row r="20">
      <c r="A20" s="6" t="inlineStr">
        <is>
          <t>WU19</t>
        </is>
      </c>
      <c r="B20" s="6" t="inlineStr">
        <is>
          <t>W03</t>
        </is>
      </c>
      <c r="C20" s="6" t="inlineStr">
        <is>
          <t>Sewerage infrastructure</t>
        </is>
      </c>
      <c r="D20" s="6" t="inlineStr">
        <is>
          <t>Networks and assets that collect, transport, store, and convey wastewater, including sewers, pumping stations, storage tunnels, and associated control systems, forming the backbone of urban sanitation and wastewater management.</t>
        </is>
      </c>
      <c r="E20" s="6" t="inlineStr">
        <is>
          <t>Business transition</t>
        </is>
      </c>
    </row>
    <row r="21">
      <c r="A21" s="6" t="inlineStr">
        <is>
          <t>FO01</t>
        </is>
      </c>
      <c r="B21" s="6" t="inlineStr">
        <is>
          <t>AFF01</t>
        </is>
      </c>
      <c r="C21" s="6" t="inlineStr">
        <is>
          <t>Reforestation / forest regeneration</t>
        </is>
      </c>
      <c r="D21" s="6" t="inlineStr">
        <is>
          <t>The restoration of forest cover on previously forested land through natural regeneration or active planting to recover ecosystem functions, carbon stocks, and biodiversity.</t>
        </is>
      </c>
      <c r="E21" s="6" t="inlineStr">
        <is>
          <t>Protection &amp; restoration</t>
        </is>
      </c>
    </row>
    <row r="22">
      <c r="A22" s="6" t="inlineStr">
        <is>
          <t>FO02</t>
        </is>
      </c>
      <c r="B22" s="6" t="inlineStr">
        <is>
          <t>AFF01</t>
        </is>
      </c>
      <c r="C22" s="6" t="inlineStr">
        <is>
          <t>Afforestation / large-scale tree planting</t>
        </is>
      </c>
      <c r="D22" s="6" t="inlineStr">
        <is>
          <t>The establishment of tree cover on land not recently forested, typically at scale, to deliver climate mitigation, ecosystem services, and land‑use change objectives.</t>
        </is>
      </c>
      <c r="E22" s="6" t="inlineStr">
        <is>
          <t>Protection &amp; restoration</t>
        </is>
      </c>
    </row>
    <row r="23">
      <c r="A23" s="6" t="inlineStr">
        <is>
          <t>FO03</t>
        </is>
      </c>
      <c r="B23" s="6" t="inlineStr">
        <is>
          <t>AFF01</t>
        </is>
      </c>
      <c r="C23" s="6" t="inlineStr">
        <is>
          <t>Habitat restoration (incl. peatlands) in forest landscapes</t>
        </is>
      </c>
      <c r="D23" s="6" t="inlineStr">
        <is>
          <t>Activities that rehabilitate degraded forest‑associated ecosystems, including peatlands, to restore hydrology, biodiversity, and long‑term carbon storage.</t>
        </is>
      </c>
      <c r="E23" s="6" t="inlineStr">
        <is>
          <t>Protection &amp; restoration</t>
        </is>
      </c>
    </row>
    <row r="24">
      <c r="A24" s="6" t="inlineStr">
        <is>
          <t>FO04</t>
        </is>
      </c>
      <c r="B24" s="6" t="inlineStr">
        <is>
          <t>AFF01</t>
        </is>
      </c>
      <c r="C24" s="6" t="inlineStr">
        <is>
          <t>Sustainable forest management &amp; biodiversity improvement</t>
        </is>
      </c>
      <c r="D24" s="6" t="inlineStr">
        <is>
          <t>Forest management practices that balance timber production with conservation outcomes by maintaining ecological integrity, species diversity, and long‑term forest resilience.</t>
        </is>
      </c>
      <c r="E24" s="6" t="inlineStr">
        <is>
          <t>Protection &amp; restoration</t>
        </is>
      </c>
    </row>
    <row r="25">
      <c r="A25" s="6" t="inlineStr">
        <is>
          <t>FO05</t>
        </is>
      </c>
      <c r="B25" s="6" t="inlineStr">
        <is>
          <t>AFF01</t>
        </is>
      </c>
      <c r="C25" s="6" t="inlineStr">
        <is>
          <t>Agroforestry systems</t>
        </is>
      </c>
      <c r="D25" s="6" t="inlineStr">
        <is>
          <t>Integrated land‑use systems that deliberately combine trees with crops and/or livestock to enhance productivity, biodiversity, soil health, and climate resilience.</t>
        </is>
      </c>
      <c r="E25" s="6" t="inlineStr">
        <is>
          <t>Protection &amp; restoration</t>
        </is>
      </c>
    </row>
    <row r="26">
      <c r="A26" s="6" t="inlineStr">
        <is>
          <t>FO06</t>
        </is>
      </c>
      <c r="B26" s="6" t="inlineStr">
        <is>
          <t>AFF01</t>
        </is>
      </c>
      <c r="C26" s="6" t="inlineStr">
        <is>
          <t>Forestry sector modernisation finance (loans/guarantees/programmes)</t>
        </is>
      </c>
      <c r="D26" s="6" t="inlineStr">
        <is>
          <t>Financial instruments that support the upgrade of forestry operations, infrastructure, and practices to improve efficiency, sustainability, and environmental performance.</t>
        </is>
      </c>
      <c r="E26" s="6" t="inlineStr">
        <is>
          <t>Natural capital markets</t>
        </is>
      </c>
    </row>
    <row r="27">
      <c r="A27" s="6" t="inlineStr">
        <is>
          <t>FO07</t>
        </is>
      </c>
      <c r="B27" s="6" t="inlineStr">
        <is>
          <t>AFF02</t>
        </is>
      </c>
      <c r="C27" s="6" t="inlineStr">
        <is>
          <t>Agri-environment &amp; sustainable farming schemes (payments/eco-schemes)</t>
        </is>
      </c>
      <c r="D27" s="6" t="inlineStr">
        <is>
          <t>Public or private payment mechanisms that incentivise farmers to adopt practices delivering environmental benefits beyond baseline agricultural requirements.</t>
        </is>
      </c>
      <c r="E27" s="6" t="inlineStr">
        <is>
          <t>Business transition</t>
        </is>
      </c>
    </row>
    <row r="28">
      <c r="A28" s="6" t="inlineStr">
        <is>
          <t>FO08</t>
        </is>
      </c>
      <c r="B28" s="6" t="inlineStr">
        <is>
          <t>AFF02</t>
        </is>
      </c>
      <c r="C28" s="6" t="inlineStr">
        <is>
          <t>Soil restoration &amp; regenerative practices</t>
        </is>
      </c>
      <c r="D28" s="6" t="inlineStr">
        <is>
          <t>Land management approaches that rebuild soil organic matter, structure, and biological activity to improve productivity, water retention, and ecosystem resilience.</t>
        </is>
      </c>
      <c r="E28" s="6" t="inlineStr">
        <is>
          <t>Protection &amp; restoration</t>
        </is>
      </c>
    </row>
    <row r="29">
      <c r="A29" s="6" t="inlineStr">
        <is>
          <t>FO09</t>
        </is>
      </c>
      <c r="B29" s="6" t="inlineStr">
        <is>
          <t>AFF02</t>
        </is>
      </c>
      <c r="C29" s="6" t="inlineStr">
        <is>
          <t>Ecosystem restoration in agricultural landscapes</t>
        </is>
      </c>
      <c r="D29" s="6" t="inlineStr">
        <is>
          <t>Interventions that restore semi‑natural habitats and ecological functions within farmed landscapes while maintaining agricultural use.</t>
        </is>
      </c>
      <c r="E29" s="6" t="inlineStr">
        <is>
          <t>Protection &amp; restoration</t>
        </is>
      </c>
    </row>
    <row r="30">
      <c r="A30" s="6" t="inlineStr">
        <is>
          <t>FO10</t>
        </is>
      </c>
      <c r="B30" s="6" t="inlineStr">
        <is>
          <t>AFF02</t>
        </is>
      </c>
      <c r="C30" s="6" t="inlineStr">
        <is>
          <t>Organic agriculture transition support</t>
        </is>
      </c>
      <c r="D30" s="6" t="inlineStr">
        <is>
          <t>Financial or technical assistance that enables farmers to convert from conventional to certified organic production systems.</t>
        </is>
      </c>
      <c r="E30" s="6" t="inlineStr">
        <is>
          <t>Natural capital markets</t>
        </is>
      </c>
    </row>
    <row r="31">
      <c r="A31" s="6" t="inlineStr">
        <is>
          <t>FO11</t>
        </is>
      </c>
      <c r="B31" s="6" t="inlineStr">
        <is>
          <t>AFF02</t>
        </is>
      </c>
      <c r="C31" s="6" t="inlineStr">
        <is>
          <t>Controlled environment agriculture (greenhouses / vertical farming)</t>
        </is>
      </c>
      <c r="D31" s="6" t="inlineStr">
        <is>
          <t>Food production systems that grow crops in enclosed, controlled settings to optimise resource efficiency, yields, and climate resilience.</t>
        </is>
      </c>
      <c r="E31" s="6" t="inlineStr">
        <is>
          <t>Business transition</t>
        </is>
      </c>
    </row>
    <row r="32">
      <c r="A32" s="6" t="inlineStr">
        <is>
          <t>FO12</t>
        </is>
      </c>
      <c r="B32" s="6" t="inlineStr">
        <is>
          <t>AFF02</t>
        </is>
      </c>
      <c r="C32" s="6" t="inlineStr">
        <is>
          <t>Agro-ecology &amp; digital agriculture R&amp;D</t>
        </is>
      </c>
      <c r="D32" s="6" t="inlineStr">
        <is>
          <t>Research and innovation activities that combine ecological farming principles with digital technologies to improve sustainability, productivity, and decision‑making.</t>
        </is>
      </c>
      <c r="E32" s="6" t="inlineStr">
        <is>
          <t>Technology development and R&amp;D</t>
        </is>
      </c>
    </row>
    <row r="33">
      <c r="A33" s="6" t="inlineStr">
        <is>
          <t>FO13</t>
        </is>
      </c>
      <c r="B33" s="6" t="inlineStr">
        <is>
          <t>AFF02</t>
        </is>
      </c>
      <c r="C33" s="6" t="inlineStr">
        <is>
          <t>Genetic resources &amp; agrobiodiversity stewardship</t>
        </is>
      </c>
      <c r="D33" s="6" t="inlineStr">
        <is>
          <t>Conservation and sustainable use of crop, livestock, and microbial genetic diversity to support resilient food systems and long‑term productivity.</t>
        </is>
      </c>
      <c r="E33" s="6" t="inlineStr">
        <is>
          <t>Protection &amp; restoration</t>
        </is>
      </c>
    </row>
    <row r="34">
      <c r="A34" s="6" t="inlineStr">
        <is>
          <t>FO14</t>
        </is>
      </c>
      <c r="B34" s="6" t="inlineStr">
        <is>
          <t>AFF03</t>
        </is>
      </c>
      <c r="C34" s="6" t="inlineStr">
        <is>
          <t>Sustainable fisheries management plans &amp; governance</t>
        </is>
      </c>
      <c r="D34" s="6" t="inlineStr">
        <is>
          <t>Regulatory and management frameworks that set science‑based rules for fishing activity to ensure long‑term stock health and ecosystem integrity.</t>
        </is>
      </c>
      <c r="E34" s="6" t="inlineStr">
        <is>
          <t>Business transition</t>
        </is>
      </c>
    </row>
    <row r="35">
      <c r="A35" s="6" t="inlineStr">
        <is>
          <t>FO15</t>
        </is>
      </c>
      <c r="B35" s="6" t="inlineStr">
        <is>
          <t>AFF03</t>
        </is>
      </c>
      <c r="C35" s="6" t="inlineStr">
        <is>
          <t>Sustainable/green fishing &amp; aquaculture funding programmes</t>
        </is>
      </c>
      <c r="D35" s="6" t="inlineStr">
        <is>
          <t>Targeted financial support for fisheries and aquaculture operations that reduce environmental impacts and improve sustainability performance.</t>
        </is>
      </c>
      <c r="E35" s="6" t="inlineStr">
        <is>
          <t>Natural capital markets</t>
        </is>
      </c>
    </row>
    <row r="36">
      <c r="A36" s="6" t="inlineStr">
        <is>
          <t>FO16</t>
        </is>
      </c>
      <c r="B36" s="6" t="inlineStr">
        <is>
          <t>AFF03</t>
        </is>
      </c>
      <c r="C36" s="6" t="inlineStr">
        <is>
          <t>Fishing fleet modernisation &amp; new tech/equipment</t>
        </is>
      </c>
      <c r="D36" s="6" t="inlineStr">
        <is>
          <t>Investment in vessels and equipment to improve safety, efficiency, selectivity, and environmental performance of fishing operations.</t>
        </is>
      </c>
      <c r="E36" s="6" t="inlineStr">
        <is>
          <t>Technology development and R&amp;D</t>
        </is>
      </c>
    </row>
    <row r="37">
      <c r="A37" s="6" t="inlineStr">
        <is>
          <t>FO17</t>
        </is>
      </c>
      <c r="B37" s="6" t="inlineStr">
        <is>
          <t>AFF03</t>
        </is>
      </c>
      <c r="C37" s="6" t="inlineStr">
        <is>
          <t>Clean technology adoption for fisheries/aquaculture</t>
        </is>
      </c>
      <c r="D37" s="6" t="inlineStr">
        <is>
          <t>Deployment of low‑emission, energy‑efficient, or pollution‑reducing technologies within fisheries and aquaculture value chains.</t>
        </is>
      </c>
      <c r="E37" s="6" t="inlineStr">
        <is>
          <t>Technology development and R&amp;D</t>
        </is>
      </c>
    </row>
    <row r="38">
      <c r="A38" s="6" t="inlineStr">
        <is>
          <t>FO18</t>
        </is>
      </c>
      <c r="B38" s="6" t="inlineStr">
        <is>
          <t>AFF03</t>
        </is>
      </c>
      <c r="C38" s="6" t="inlineStr">
        <is>
          <t>Marine protected areas (MPAs) &amp; conservation finance</t>
        </is>
      </c>
      <c r="D38" s="6" t="inlineStr">
        <is>
          <t>Designation and financing of protected marine zones to conserve biodiversity, restore ecosystems, and sustain ocean services.</t>
        </is>
      </c>
      <c r="E38" s="6" t="inlineStr">
        <is>
          <t>Natural capital markets</t>
        </is>
      </c>
    </row>
    <row r="39">
      <c r="A39" s="6" t="inlineStr">
        <is>
          <t>FO19</t>
        </is>
      </c>
      <c r="B39" s="6" t="inlineStr">
        <is>
          <t>AFF03</t>
        </is>
      </c>
      <c r="C39" s="6" t="inlineStr">
        <is>
          <t>Blue economy partnerships &amp; international ocean governance</t>
        </is>
      </c>
      <c r="D39" s="6" t="inlineStr">
        <is>
          <t>Cooperative initiatives across countries and sectors that support sustainable economic use of oceans under shared governance frameworks.</t>
        </is>
      </c>
      <c r="E39" s="6" t="inlineStr">
        <is>
          <t>Natural capital markets</t>
        </is>
      </c>
    </row>
    <row r="40">
      <c r="A40" s="6" t="inlineStr">
        <is>
          <t>FO20</t>
        </is>
      </c>
      <c r="B40" s="6" t="inlineStr">
        <is>
          <t>AFF03</t>
        </is>
      </c>
      <c r="C40" s="6" t="inlineStr">
        <is>
          <t>Aquaculture growth &amp; investment capital</t>
        </is>
      </c>
      <c r="D40" s="6" t="inlineStr">
        <is>
          <t>Public or private capital deployed to expand aquaculture production capacity, innovation, and value chains in a sustainable manner.</t>
        </is>
      </c>
      <c r="E40" s="6" t="inlineStr">
        <is>
          <t>Natural capital markets</t>
        </is>
      </c>
    </row>
    <row r="41">
      <c r="A41" s="6" t="inlineStr">
        <is>
          <t>I1</t>
        </is>
      </c>
      <c r="B41" s="6" t="inlineStr">
        <is>
          <t>UD01</t>
        </is>
      </c>
      <c r="C41" s="6" t="inlineStr">
        <is>
          <t>Sustainable materials (certified timber, recycled &amp; bio‑based)</t>
        </is>
      </c>
      <c r="D41" s="6" t="inlineStr">
        <is>
          <t>Materials sourced from certified, recycled, or renewable biological inputs that reduce environmental impacts, resource extraction, and biodiversity loss across the building life cycle.</t>
        </is>
      </c>
      <c r="E41" s="6" t="inlineStr">
        <is>
          <t>Technology development and R&amp;D</t>
        </is>
      </c>
    </row>
    <row r="42">
      <c r="A42" s="6" t="inlineStr">
        <is>
          <t>I2</t>
        </is>
      </c>
      <c r="B42" s="6" t="inlineStr">
        <is>
          <t>UD01</t>
        </is>
      </c>
      <c r="C42" s="6" t="inlineStr">
        <is>
          <t>Green / nature‑inclusive building standards &amp; certification</t>
        </is>
      </c>
      <c r="D42" s="6" t="inlineStr">
        <is>
          <t>Building standards and certification schemes that embed biodiversity, ecosystem services, and nature‑positive design principles into planning, construction, and operation.</t>
        </is>
      </c>
      <c r="E42" s="6" t="inlineStr">
        <is>
          <t>Technology development and R&amp;D</t>
        </is>
      </c>
    </row>
    <row r="43">
      <c r="A43" s="6" t="inlineStr">
        <is>
          <t>I3</t>
        </is>
      </c>
      <c r="B43" s="6" t="inlineStr">
        <is>
          <t>UD01</t>
        </is>
      </c>
      <c r="C43" s="6" t="inlineStr">
        <is>
          <t>Biodiversity features (green roofs/walls, bird‑safe design, pollinator landscaping)</t>
        </is>
      </c>
      <c r="D43" s="6" t="inlineStr">
        <is>
          <t>Integrated building and landscape features designed to create habitat, support species, and enhance biodiversity within developed environments.</t>
        </is>
      </c>
      <c r="E43" s="6" t="inlineStr">
        <is>
          <t>Technology development and R&amp;D</t>
        </is>
      </c>
    </row>
    <row r="44">
      <c r="A44" s="6" t="inlineStr">
        <is>
          <t>I4</t>
        </is>
      </c>
      <c r="B44" s="6" t="inlineStr">
        <is>
          <t>UD01</t>
        </is>
      </c>
      <c r="C44" s="6" t="inlineStr">
        <is>
          <t>SuDS (sustainable drainage systems) &amp; stormwater nature‑based solutions (rain gardens, bioswales, permeable paving)</t>
        </is>
      </c>
      <c r="D44" s="6" t="inlineStr">
        <is>
          <t>Nature‑based drainage systems that manage stormwater through infiltration, storage, and evapotranspiration while delivering biodiversity and water‑quality benefits.</t>
        </is>
      </c>
      <c r="E44" s="6" t="inlineStr">
        <is>
          <t>Technology development and R&amp;D</t>
        </is>
      </c>
    </row>
    <row r="45">
      <c r="A45" s="6" t="inlineStr">
        <is>
          <t>I5</t>
        </is>
      </c>
      <c r="B45" s="6" t="inlineStr">
        <is>
          <t>UD02</t>
        </is>
      </c>
      <c r="C45" s="6" t="inlineStr">
        <is>
          <t>Biodiversity friendly transmission corridors</t>
        </is>
      </c>
      <c r="D45" s="6" t="inlineStr">
        <is>
          <t>Linear infrastructure corridors designed and managed to minimise habitat fragmentation and support species movement and ecological function.</t>
        </is>
      </c>
      <c r="E45" s="6" t="inlineStr">
        <is>
          <t>Protection &amp; restoration</t>
        </is>
      </c>
    </row>
    <row r="46">
      <c r="A46" s="6" t="inlineStr">
        <is>
          <t>I7</t>
        </is>
      </c>
      <c r="B46" s="6" t="inlineStr">
        <is>
          <t>UD02</t>
        </is>
      </c>
      <c r="C46" s="6" t="inlineStr">
        <is>
          <t>Green/blue corridors &amp; ecological connectivity (greenways, habitat corridors)</t>
        </is>
      </c>
      <c r="D46" s="6" t="inlineStr">
        <is>
          <t>Networks of connected green and water‑based habitats that enable species movement, genetic exchange, and ecosystem resilience across landscapes.</t>
        </is>
      </c>
      <c r="E46" s="6" t="inlineStr">
        <is>
          <t>Protection &amp; restoration</t>
        </is>
      </c>
    </row>
    <row r="47">
      <c r="A47" s="6" t="inlineStr">
        <is>
          <t>I8</t>
        </is>
      </c>
      <c r="B47" s="6" t="inlineStr">
        <is>
          <t>UD02</t>
        </is>
      </c>
      <c r="C47" s="6" t="inlineStr">
        <is>
          <t>De‑sealing &amp; nature‑positive urban regeneration / public realm upgrades</t>
        </is>
      </c>
      <c r="D47" s="6" t="inlineStr">
        <is>
          <t>Urban regeneration activities that remove impermeable surfaces and restore soils, vegetation, and ecosystem functions in streets, squares, and public spaces.</t>
        </is>
      </c>
      <c r="E47" s="6" t="inlineStr">
        <is>
          <t>Protection &amp; restoration</t>
        </is>
      </c>
    </row>
    <row r="48">
      <c r="A48" s="6" t="inlineStr">
        <is>
          <t>I9</t>
        </is>
      </c>
      <c r="B48" s="6" t="inlineStr">
        <is>
          <t>UD02</t>
        </is>
      </c>
      <c r="C48" s="6" t="inlineStr">
        <is>
          <t>Green city infrastructure</t>
        </is>
      </c>
      <c r="D48" s="6" t="inlineStr">
        <is>
          <t>Urban infrastructure that integrates natural systems to deliver ecosystem services such as cooling, flood mitigation, air quality improvement, and biodiversity enhancement.</t>
        </is>
      </c>
      <c r="E48" s="6" t="inlineStr">
        <is>
          <t>Protection &amp; restoration</t>
        </is>
      </c>
    </row>
    <row r="49">
      <c r="A49" s="6" t="inlineStr">
        <is>
          <t>I10</t>
        </is>
      </c>
      <c r="B49" s="6" t="inlineStr">
        <is>
          <t>UD03</t>
        </is>
      </c>
      <c r="C49" s="6" t="inlineStr">
        <is>
          <t>Urban waterways &amp; wetland restoration (incl. floodplain reconnection)</t>
        </is>
      </c>
      <c r="D49" s="6" t="inlineStr">
        <is>
          <t>Restoration of rivers, canals, wetlands, and floodplains in urban areas to improve ecological condition, water management, and climate resilience.</t>
        </is>
      </c>
      <c r="E49" s="6" t="inlineStr">
        <is>
          <t>Protection &amp; restoration</t>
        </is>
      </c>
    </row>
    <row r="50">
      <c r="A50" s="6" t="inlineStr">
        <is>
          <t>I11</t>
        </is>
      </c>
      <c r="B50" s="6" t="inlineStr">
        <is>
          <t>UD03</t>
        </is>
      </c>
      <c r="C50" s="6" t="inlineStr">
        <is>
          <t>Urban greening programmes (parks, pocket parks, micro‑forests, tree canopies)</t>
        </is>
      </c>
      <c r="D50" s="6" t="inlineStr">
        <is>
          <t>Planned initiatives to expand and enhance urban green spaces and tree cover to support biodiversity, climate adaptation, and human well‑being.</t>
        </is>
      </c>
      <c r="E50" s="6" t="inlineStr">
        <is>
          <t>Protection &amp; restoration</t>
        </is>
      </c>
    </row>
    <row r="51">
      <c r="A51" s="6" t="inlineStr">
        <is>
          <t>I12</t>
        </is>
      </c>
      <c r="B51" s="6" t="inlineStr">
        <is>
          <t>UD03</t>
        </is>
      </c>
      <c r="C51" s="6" t="inlineStr">
        <is>
          <t>Habitat protection from building permissions/protection from land-use changes</t>
        </is>
      </c>
      <c r="D51" s="6" t="inlineStr">
        <is>
          <t>Regulatory and planning measures that prevent habitat loss by restricting development and land‑use changes in ecologically sensitive areas.</t>
        </is>
      </c>
      <c r="E51" s="6" t="inlineStr">
        <is>
          <t>Protection &amp; restoration</t>
        </is>
      </c>
    </row>
    <row r="52">
      <c r="A52" s="6" t="inlineStr">
        <is>
          <t>A01</t>
        </is>
      </c>
      <c r="B52" s="6" t="inlineStr">
        <is>
          <t>DM01</t>
        </is>
      </c>
      <c r="C52" s="6" t="inlineStr">
        <is>
          <t>River and coastal flood defences</t>
        </is>
      </c>
      <c r="D52" s="6" t="inlineStr">
        <is>
          <t>Infrastructure and nature‑integrated measures designed to reduce flood risk by controlling river flows and coastal processes while, where possible, maintaining or enhancing ecosystem functions.</t>
        </is>
      </c>
      <c r="E52" s="6" t="inlineStr">
        <is>
          <t>Protection &amp; restoration</t>
        </is>
      </c>
    </row>
    <row r="53">
      <c r="A53" s="6" t="inlineStr">
        <is>
          <t>A02</t>
        </is>
      </c>
      <c r="B53" s="6" t="inlineStr">
        <is>
          <t>DM01</t>
        </is>
      </c>
      <c r="C53" s="6" t="inlineStr">
        <is>
          <t>Flood retention areas and floodplain restoration</t>
        </is>
      </c>
      <c r="D53" s="6" t="inlineStr">
        <is>
          <t>The reinstatement or creation of natural flood storage areas that reduce flood peaks while restoring floodplain habitats and ecological connectivity.</t>
        </is>
      </c>
      <c r="E53" s="6" t="inlineStr">
        <is>
          <t>Protection &amp; restoration</t>
        </is>
      </c>
    </row>
    <row r="54">
      <c r="A54" s="6" t="inlineStr">
        <is>
          <t>A03</t>
        </is>
      </c>
      <c r="B54" s="6" t="inlineStr">
        <is>
          <t>DM01</t>
        </is>
      </c>
      <c r="C54" s="6" t="inlineStr">
        <is>
          <t>Urban drainage upgrades and stormwater tunnels</t>
        </is>
      </c>
      <c r="D54" s="6" t="inlineStr">
        <is>
          <t>Engineered systems that improve the collection, conveyance, and temporary storage of stormwater to reduce urban flooding and pollution pressures on receiving ecosystems.</t>
        </is>
      </c>
      <c r="E54" s="6" t="inlineStr">
        <is>
          <t>Protection &amp; restoration</t>
        </is>
      </c>
    </row>
    <row r="55">
      <c r="A55" s="6" t="inlineStr">
        <is>
          <t>A04</t>
        </is>
      </c>
      <c r="B55" s="6" t="inlineStr">
        <is>
          <t>DM01</t>
        </is>
      </c>
      <c r="C55" s="6" t="inlineStr">
        <is>
          <t>Landscape restoration to reduce erosion</t>
        </is>
      </c>
      <c r="D55" s="6" t="inlineStr">
        <is>
          <t>Restoration of degraded landscapes to stabilise soils, reduce sediment loss, and recover vegetation and ecological processes that limit erosion risks.</t>
        </is>
      </c>
      <c r="E55" s="6" t="inlineStr">
        <is>
          <t>Protection &amp; restoration</t>
        </is>
      </c>
    </row>
    <row r="56">
      <c r="A56" s="6" t="inlineStr">
        <is>
          <t>A05</t>
        </is>
      </c>
      <c r="B56" s="6" t="inlineStr">
        <is>
          <t>DM01</t>
        </is>
      </c>
      <c r="C56" s="6" t="inlineStr">
        <is>
          <t>Drought-resilience water supply infrastructure</t>
        </is>
      </c>
      <c r="D56" s="6" t="inlineStr">
        <is>
          <t>Water systems designed to withstand prolonged water scarcity while reducing pressure on freshwater ecosystems and supporting sustainable water use.</t>
        </is>
      </c>
      <c r="E56" s="6" t="inlineStr">
        <is>
          <t>Protection &amp; restoration</t>
        </is>
      </c>
    </row>
    <row r="57">
      <c r="A57" s="6" t="inlineStr">
        <is>
          <t>A06</t>
        </is>
      </c>
      <c r="B57" s="6" t="inlineStr">
        <is>
          <t>DM01</t>
        </is>
      </c>
      <c r="C57" s="6" t="inlineStr">
        <is>
          <t>Vegetation and fuel-load management</t>
        </is>
      </c>
      <c r="D57" s="6" t="inlineStr">
        <is>
          <t>Targeted management of vegetation structure and biomass to reduce wildfire risk while maintaining ecosystem health and biodiversity values.</t>
        </is>
      </c>
      <c r="E57" s="6" t="inlineStr">
        <is>
          <t>Protection &amp; restoration</t>
        </is>
      </c>
    </row>
    <row r="58">
      <c r="A58" s="6" t="inlineStr">
        <is>
          <t>A07</t>
        </is>
      </c>
      <c r="B58" s="6" t="inlineStr">
        <is>
          <t>DM01</t>
        </is>
      </c>
      <c r="C58" s="6" t="inlineStr">
        <is>
          <t>Land-use and forest management to reduce fire severity</t>
        </is>
      </c>
      <c r="D58" s="6" t="inlineStr">
        <is>
          <t>Spatial planning and forest management practices that lower wildfire intensity and spread by enhancing landscape heterogeneity and ecosystem resilience.</t>
        </is>
      </c>
      <c r="E58" s="6" t="inlineStr">
        <is>
          <t>Protection &amp; restoration</t>
        </is>
      </c>
    </row>
    <row r="59">
      <c r="A59" s="6" t="inlineStr">
        <is>
          <t>A08</t>
        </is>
      </c>
      <c r="B59" s="6" t="inlineStr">
        <is>
          <t>DM02</t>
        </is>
      </c>
      <c r="C59" s="6" t="inlineStr">
        <is>
          <t>Flood, drought, heatwave and wildfire early-warning systems</t>
        </is>
      </c>
      <c r="D59" s="6" t="inlineStr">
        <is>
          <t>Monitoring and forecasting systems that provide timely alerts on climate‑related hazards to reduce impacts on people, infrastructure, and ecosystems.</t>
        </is>
      </c>
      <c r="E59" s="6" t="inlineStr">
        <is>
          <t>Technology development and R&amp;D</t>
        </is>
      </c>
    </row>
    <row r="60">
      <c r="A60" s="6" t="inlineStr">
        <is>
          <t>A09</t>
        </is>
      </c>
      <c r="B60" s="6" t="inlineStr">
        <is>
          <t>DM02</t>
        </is>
      </c>
      <c r="C60" s="6" t="inlineStr">
        <is>
          <t>Emergency coordination and crisis communication systems</t>
        </is>
      </c>
      <c r="D60" s="6" t="inlineStr">
        <is>
          <t>Institutional and communication mechanisms that enable rapid, coordinated response during extreme events to limit ecological, social, and economic damage.</t>
        </is>
      </c>
      <c r="E60" s="6" t="inlineStr">
        <is>
          <t>Technology development and R&amp;D</t>
        </is>
      </c>
    </row>
    <row r="61">
      <c r="A61" s="6" t="inlineStr">
        <is>
          <t>A10</t>
        </is>
      </c>
      <c r="B61" s="6" t="inlineStr">
        <is>
          <t>DM02</t>
        </is>
      </c>
      <c r="C61" s="6" t="inlineStr">
        <is>
          <t>Heat health warning systems</t>
        </is>
      </c>
      <c r="D61" s="6" t="inlineStr">
        <is>
          <t>Early‑warning systems that alert populations to extreme heat risks, helping to reduce health impacts while recognising interactions with urban and natural environments.</t>
        </is>
      </c>
      <c r="E61" s="6" t="inlineStr">
        <is>
          <t>Technology development and R&amp;D</t>
        </is>
      </c>
    </row>
    <row r="62">
      <c r="A62" s="6" t="inlineStr">
        <is>
          <t>A15</t>
        </is>
      </c>
      <c r="B62" s="6" t="inlineStr">
        <is>
          <t>DM02</t>
        </is>
      </c>
      <c r="C62" s="6" t="inlineStr">
        <is>
          <t>Flood risk management</t>
        </is>
      </c>
      <c r="D62" s="6" t="inlineStr">
        <is>
          <t>Structural and non‑structural measures to prevent, mitigate, and manage flood impacts, including flood defences, river restoration, early‑warning systems, land‑use planning, and catchment‑scale interventions.</t>
        </is>
      </c>
      <c r="E62" s="6" t="inlineStr">
        <is>
          <t>Business transition</t>
        </is>
      </c>
    </row>
    <row r="63">
      <c r="A63" s="6" t="inlineStr">
        <is>
          <t>A16</t>
        </is>
      </c>
      <c r="B63" s="6" t="inlineStr">
        <is>
          <t>DM02</t>
        </is>
      </c>
      <c r="C63" s="6" t="inlineStr">
        <is>
          <t>Sponge cities for flood reduction</t>
        </is>
      </c>
      <c r="D63" s="6" t="inlineStr">
        <is>
          <t>Urban design approaches that use permeable surfaces, green spaces, and water‑retentive landscapes to absorb, store, and slow stormwater and reduce flood risk.</t>
        </is>
      </c>
      <c r="E63" s="6" t="inlineStr">
        <is>
          <t>Protection &amp; restoration</t>
        </is>
      </c>
    </row>
    <row r="64">
      <c r="A64" s="6" t="inlineStr">
        <is>
          <t>A11</t>
        </is>
      </c>
      <c r="B64" s="6" t="inlineStr">
        <is>
          <t>DM03</t>
        </is>
      </c>
      <c r="C64" s="6" t="inlineStr">
        <is>
          <t>Resilience upgrades to existing infrastructure</t>
        </is>
      </c>
      <c r="D64" s="6" t="inlineStr">
        <is>
          <t>Modifications to existing assets that increase their ability to withstand climate and hazard stresses while minimising adverse impacts on surrounding ecosystems.</t>
        </is>
      </c>
      <c r="E64" s="6" t="inlineStr">
        <is>
          <t>Technology development and R&amp;D</t>
        </is>
      </c>
    </row>
    <row r="65">
      <c r="A65" s="6" t="inlineStr">
        <is>
          <t>A12</t>
        </is>
      </c>
      <c r="B65" s="6" t="inlineStr">
        <is>
          <t>DM03</t>
        </is>
      </c>
      <c r="C65" s="6" t="inlineStr">
        <is>
          <t>Design standards to reduce overheating in buildings</t>
        </is>
      </c>
      <c r="D65" s="6" t="inlineStr">
        <is>
          <t>Building design requirements that limit heat accumulation through passive measures, reducing health risks, energy demand, and urban heat impacts.</t>
        </is>
      </c>
      <c r="E65" s="6" t="inlineStr">
        <is>
          <t>Technology development and R&amp;D</t>
        </is>
      </c>
    </row>
    <row r="66">
      <c r="A66" s="6" t="inlineStr">
        <is>
          <t>A13</t>
        </is>
      </c>
      <c r="B66" s="6" t="inlineStr">
        <is>
          <t>DM03</t>
        </is>
      </c>
      <c r="C66" s="6" t="inlineStr">
        <is>
          <t>Ecosystem-based approaches</t>
        </is>
      </c>
      <c r="D66" s="6" t="inlineStr">
        <is>
          <t>Strategies that protect, restore, and sustainably manage ecosystems to reduce risks, support adaptation, and enhance long‑term resilience for both nature and society.</t>
        </is>
      </c>
      <c r="E66" s="6" t="inlineStr">
        <is>
          <t>Protection &amp; restoration</t>
        </is>
      </c>
    </row>
    <row r="67">
      <c r="A67" s="6" t="inlineStr">
        <is>
          <t>PL1</t>
        </is>
      </c>
      <c r="B67" s="6" t="inlineStr">
        <is>
          <t>P01</t>
        </is>
      </c>
      <c r="C67" s="6" t="inlineStr">
        <is>
          <t>Sustainable packaging</t>
        </is>
      </c>
      <c r="D67" s="6" t="inlineStr">
        <is>
          <t>Packaging solutions designed to minimise environmental impact across the lifecycle through reduced material use, recyclability, reuse, or the use of low‑impact and renewable inputs.</t>
        </is>
      </c>
      <c r="E67" s="6" t="inlineStr">
        <is>
          <t>Technology development and R&amp;D</t>
        </is>
      </c>
    </row>
    <row r="68">
      <c r="A68" s="6" t="inlineStr">
        <is>
          <t>PL2</t>
        </is>
      </c>
      <c r="B68" s="6" t="inlineStr">
        <is>
          <t>P01</t>
        </is>
      </c>
      <c r="C68" s="6" t="inlineStr">
        <is>
          <t>Biodegradable materials</t>
        </is>
      </c>
      <c r="D68" s="6" t="inlineStr">
        <is>
          <t>Materials that can be broken down by natural biological processes into non‑toxic components within a reasonable timeframe, reducing long‑term environmental persistence.</t>
        </is>
      </c>
      <c r="E68" s="6" t="inlineStr">
        <is>
          <t>Technology development and R&amp;D</t>
        </is>
      </c>
    </row>
    <row r="69">
      <c r="A69" s="6" t="inlineStr">
        <is>
          <t>PL3</t>
        </is>
      </c>
      <c r="B69" s="6" t="inlineStr">
        <is>
          <t>P02</t>
        </is>
      </c>
      <c r="C69" s="6" t="inlineStr">
        <is>
          <t>Waste management &amp; recycling infrastructure</t>
        </is>
      </c>
      <c r="D69" s="6" t="inlineStr">
        <is>
          <t>Physical systems and services that enable the collection, sorting, treatment, recycling, and safe disposal of waste materials to reduce landfill use and environmental harm.</t>
        </is>
      </c>
      <c r="E69" s="6" t="inlineStr">
        <is>
          <t>Business transition</t>
        </is>
      </c>
    </row>
    <row r="70">
      <c r="A70" s="6" t="inlineStr">
        <is>
          <t>PL4</t>
        </is>
      </c>
      <c r="B70" s="6" t="inlineStr">
        <is>
          <t>P02</t>
        </is>
      </c>
      <c r="C70" s="6" t="inlineStr">
        <is>
          <t>Circular economy systems</t>
        </is>
      </c>
      <c r="D70" s="6" t="inlineStr">
        <is>
          <t>Economic systems that prioritise resource efficiency by designing out waste, extending product lifecycles, and keeping materials in use through reuse, recycling, and regeneration.</t>
        </is>
      </c>
      <c r="E70" s="6" t="inlineStr">
        <is>
          <t>Business transition</t>
        </is>
      </c>
    </row>
    <row r="71">
      <c r="A71" s="6" t="inlineStr">
        <is>
          <t>PL5</t>
        </is>
      </c>
      <c r="B71" s="6" t="inlineStr">
        <is>
          <t>P02</t>
        </is>
      </c>
      <c r="C71" s="6" t="inlineStr">
        <is>
          <t>Plastic waste reduction</t>
        </is>
      </c>
      <c r="D71" s="6" t="inlineStr">
        <is>
          <t>Measures aimed at decreasing plastic use, improving recyclability, and preventing plastic leakage into the environment across production, consumption, and waste stages.</t>
        </is>
      </c>
      <c r="E71" s="6" t="inlineStr">
        <is>
          <t>Business transition</t>
        </is>
      </c>
    </row>
    <row r="72">
      <c r="A72" s="6" t="inlineStr">
        <is>
          <t>PL6</t>
        </is>
      </c>
      <c r="B72" s="6" t="inlineStr">
        <is>
          <t>P02</t>
        </is>
      </c>
      <c r="C72" s="6" t="inlineStr">
        <is>
          <t>Chemical pollution management</t>
        </is>
      </c>
      <c r="D72" s="6" t="inlineStr">
        <is>
          <t>The control, reduction, and remediation of harmful chemical releases to air, water, and soil to protect human health and ecosystems.</t>
        </is>
      </c>
      <c r="E72" s="6" t="inlineStr">
        <is>
          <t>Business transition</t>
        </is>
      </c>
    </row>
    <row r="73">
      <c r="A73" s="6" t="inlineStr">
        <is>
          <t>PL7</t>
        </is>
      </c>
      <c r="B73" s="6" t="inlineStr">
        <is>
          <t>P02</t>
        </is>
      </c>
      <c r="C73" s="6" t="inlineStr">
        <is>
          <t>Industrial waste &amp; hazardous waste</t>
        </is>
      </c>
      <c r="D73" s="6" t="inlineStr">
        <is>
          <t>Waste streams generated by industrial activities that may pose environmental or health risks due to their volume, toxicity, flammability, or persistence, requiring specialised handling and disposal.</t>
        </is>
      </c>
      <c r="E73" s="6" t="inlineStr">
        <is>
          <t>Business transition</t>
        </is>
      </c>
    </row>
    <row r="74">
      <c r="A74" s="6" t="inlineStr">
        <is>
          <t>PL8</t>
        </is>
      </c>
      <c r="B74" s="6" t="inlineStr">
        <is>
          <t>P03</t>
        </is>
      </c>
      <c r="C74" s="6" t="inlineStr">
        <is>
          <t>Transport noise reduction</t>
        </is>
      </c>
      <c r="D74" s="6" t="inlineStr">
        <is>
          <t>Interventions that reduce noise generated by road, rail, and maritime transport through technology, infrastructure design, and operational controls.</t>
        </is>
      </c>
      <c r="E74" s="6" t="inlineStr">
        <is>
          <t>Business transition</t>
        </is>
      </c>
    </row>
    <row r="75">
      <c r="A75" s="6" t="inlineStr">
        <is>
          <t>PL9</t>
        </is>
      </c>
      <c r="B75" s="6" t="inlineStr">
        <is>
          <t>P03</t>
        </is>
      </c>
      <c r="C75" s="6" t="inlineStr">
        <is>
          <t>Aviation noise mitigation</t>
        </is>
      </c>
      <c r="D75" s="6" t="inlineStr">
        <is>
          <t>Strategies to minimise noise impacts from aircraft operations, including flight path optimisation, quieter aircraft technologies, and airport‑level operational measures.</t>
        </is>
      </c>
      <c r="E75" s="6" t="inlineStr">
        <is>
          <t>Business transition</t>
        </is>
      </c>
    </row>
    <row r="76">
      <c r="A76" s="6" t="inlineStr">
        <is>
          <t>PL10</t>
        </is>
      </c>
      <c r="B76" s="6" t="inlineStr">
        <is>
          <t>P03</t>
        </is>
      </c>
      <c r="C76" s="6" t="inlineStr">
        <is>
          <t>Urban noise monitoring &amp; mitigation</t>
        </is>
      </c>
      <c r="D76" s="6" t="inlineStr">
        <is>
          <t>The measurement, analysis, and management of noise pollution in urban areas to reduce impacts on human health and quality of life.</t>
        </is>
      </c>
      <c r="E76" s="6" t="inlineStr">
        <is>
          <t>Business transition</t>
        </is>
      </c>
    </row>
    <row r="77">
      <c r="A77" s="6" t="inlineStr">
        <is>
          <t>PL11</t>
        </is>
      </c>
      <c r="B77" s="6" t="inlineStr">
        <is>
          <t>P03</t>
        </is>
      </c>
      <c r="C77" s="6" t="inlineStr">
        <is>
          <t>Development of technologies to reduce air pollution</t>
        </is>
      </c>
      <c r="D77" s="6" t="inlineStr">
        <is>
          <t>Innovation and deployment of technologies that lower emissions of harmful air pollutants from industrial, transport, and energy sources.</t>
        </is>
      </c>
      <c r="E77" s="6" t="inlineStr">
        <is>
          <t>Technology development and R&amp;D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9"/>
  <sheetViews>
    <sheetView workbookViewId="0">
      <pane ySplit="4" topLeftCell="A5" activePane="bottomLeft" state="frozen"/>
      <selection pane="bottomLeft" activeCell="A1" sqref="A1"/>
    </sheetView>
  </sheetViews>
  <sheetFormatPr baseColWidth="8" defaultRowHeight="15"/>
  <cols>
    <col width="9" customWidth="1" min="1" max="1"/>
    <col width="26" customWidth="1" min="2" max="2"/>
    <col width="11" customWidth="1" min="3" max="3"/>
    <col width="32" customWidth="1" min="4" max="4"/>
    <col width="55" customWidth="1" min="5" max="5"/>
    <col width="26" customWidth="1" min="6" max="6"/>
    <col width="14" customWidth="1" min="7" max="7"/>
    <col width="14" customWidth="1" min="8" max="8"/>
    <col width="11" customWidth="1" min="9" max="9"/>
    <col width="11" customWidth="1" min="10" max="10"/>
    <col width="11" customWidth="1" min="11" max="11"/>
    <col width="40" customWidth="1" min="12" max="12"/>
  </cols>
  <sheetData>
    <row r="1">
      <c r="A1" s="1" t="inlineStr">
        <is>
          <t>Taxonomy and country NBSAP signal</t>
        </is>
      </c>
    </row>
    <row r="2">
      <c r="A2" s="10" t="inlineStr">
        <is>
          <t>Columns G–K recalculate when Inputs!Country_ID changes. Theme names inferred from codes – confirm.</t>
        </is>
      </c>
    </row>
    <row r="4">
      <c r="A4" s="4" t="inlineStr">
        <is>
          <t>Theme_ID</t>
        </is>
      </c>
      <c r="B4" s="4" t="inlineStr">
        <is>
          <t>Theme</t>
        </is>
      </c>
      <c r="C4" s="4" t="inlineStr">
        <is>
          <t>SubTheme_ID</t>
        </is>
      </c>
      <c r="D4" s="4" t="inlineStr">
        <is>
          <t>Sub-theme</t>
        </is>
      </c>
      <c r="E4" s="4" t="inlineStr">
        <is>
          <t>Definition</t>
        </is>
      </c>
      <c r="F4" s="4" t="inlineStr">
        <is>
          <t>ENCORE theme</t>
        </is>
      </c>
      <c r="G4" s="4" t="inlineStr">
        <is>
          <t>NBSAP commitments (no.) – selected country</t>
        </is>
      </c>
      <c r="H4" s="4" t="inlineStr">
        <is>
          <t>NBSAP commitments (USD bn) – selected country</t>
        </is>
      </c>
      <c r="I4" s="4" t="inlineStr">
        <is>
          <t>Relative rank (0–1)</t>
        </is>
      </c>
      <c r="J4" s="4" t="inlineStr">
        <is>
          <t>C3 NBSAP emphasis</t>
        </is>
      </c>
      <c r="K4" s="4" t="inlineStr">
        <is>
          <t>C5 Market opportunity</t>
        </is>
      </c>
      <c r="L4" s="4" t="inlineStr">
        <is>
          <t>NBSAP target link (selected country)</t>
        </is>
      </c>
    </row>
    <row r="5">
      <c r="A5" s="6" t="inlineStr">
        <is>
          <t>W</t>
        </is>
      </c>
      <c r="B5" s="6" t="inlineStr">
        <is>
          <t>Water</t>
        </is>
      </c>
      <c r="C5" s="6" t="inlineStr">
        <is>
          <t>W01</t>
        </is>
      </c>
      <c r="D5" s="6" t="inlineStr">
        <is>
          <t>Water usage</t>
        </is>
      </c>
      <c r="E5" s="6" t="inlineStr">
        <is>
          <t>Ensuring a sustainable supply of water to homes, the public and businesses</t>
        </is>
      </c>
      <c r="F5" s="6" t="inlineStr">
        <is>
          <t>Volume of water use</t>
        </is>
      </c>
      <c r="G5" s="13">
        <f>COUNTIFS(NBSAP_Commitments!$G$5:$G$1000,C5,NBSAP_Commitments!$B$5:$B$1000,Inputs!$B$6)</f>
        <v/>
      </c>
      <c r="H5" s="14">
        <f>SUMIFS(NBSAP_Commitments!$J$5:$J$1000,NBSAP_Commitments!$G$5:$G$1000,C5,NBSAP_Commitments!$B$5:$B$1000,Inputs!$B$6)/1000000000</f>
        <v/>
      </c>
      <c r="I5" s="15">
        <f>IF(H5&lt;=0,0,PERCENTRANK($H$5:$H$19,H5))</f>
        <v/>
      </c>
      <c r="J5" s="16">
        <f>IF(G5&gt;=Rubric!$B$22,5,IF(G5&gt;=Rubric!$B$23,4,IF(G5&gt;=Rubric!$B$24,3,IF(G5&gt;=Rubric!$B$25,2,1))))</f>
        <v/>
      </c>
      <c r="K5" s="16">
        <f>IF(H5&lt;=0,1,IF(I5&gt;=Rubric!$B$29,5,IF(I5&gt;=Rubric!$B$30,4,IF(I5&gt;=Rubric!$B$31,3,IF(I5&gt;=Rubric!$B$32,2,1)))))</f>
        <v/>
      </c>
      <c r="L5" s="8">
        <f>IFERROR(INDEX(NBSAP_Targets!$C:$C,MATCH(1,INDEX((NBSAP_Targets!$A$5:$A$500=Inputs!$B$6)*(NBSAP_Targets!$B$5:$B$500=C5),0),0)+4),"[to confirm]")</f>
        <v/>
      </c>
    </row>
    <row r="6">
      <c r="A6" s="6" t="inlineStr">
        <is>
          <t>W</t>
        </is>
      </c>
      <c r="B6" s="6" t="inlineStr">
        <is>
          <t>Water</t>
        </is>
      </c>
      <c r="C6" s="6" t="inlineStr">
        <is>
          <t>W02</t>
        </is>
      </c>
      <c r="D6" s="6" t="inlineStr">
        <is>
          <t>Water quality</t>
        </is>
      </c>
      <c r="E6" s="6" t="inlineStr">
        <is>
          <t>Water quality refers to the chemical, physical, and biological characteristics of water, assessed in relation to its suitability for a specific use, such as drinking, ecosystem support, agriculture, industry, or recreation.</t>
        </is>
      </c>
      <c r="F6" s="6" t="inlineStr">
        <is>
          <t>Emissions of toxic pollutants to water and soil</t>
        </is>
      </c>
      <c r="G6" s="13">
        <f>COUNTIFS(NBSAP_Commitments!$G$5:$G$1000,C6,NBSAP_Commitments!$B$5:$B$1000,Inputs!$B$6)</f>
        <v/>
      </c>
      <c r="H6" s="14">
        <f>SUMIFS(NBSAP_Commitments!$J$5:$J$1000,NBSAP_Commitments!$G$5:$G$1000,C6,NBSAP_Commitments!$B$5:$B$1000,Inputs!$B$6)/1000000000</f>
        <v/>
      </c>
      <c r="I6" s="15">
        <f>IF(H6&lt;=0,0,PERCENTRANK($H$5:$H$19,H6))</f>
        <v/>
      </c>
      <c r="J6" s="16">
        <f>IF(G6&gt;=Rubric!$B$22,5,IF(G6&gt;=Rubric!$B$23,4,IF(G6&gt;=Rubric!$B$24,3,IF(G6&gt;=Rubric!$B$25,2,1))))</f>
        <v/>
      </c>
      <c r="K6" s="16">
        <f>IF(H6&lt;=0,1,IF(I6&gt;=Rubric!$B$29,5,IF(I6&gt;=Rubric!$B$30,4,IF(I6&gt;=Rubric!$B$31,3,IF(I6&gt;=Rubric!$B$32,2,1)))))</f>
        <v/>
      </c>
      <c r="L6" s="8">
        <f>IFERROR(INDEX(NBSAP_Targets!$C:$C,MATCH(1,INDEX((NBSAP_Targets!$A$5:$A$500=Inputs!$B$6)*(NBSAP_Targets!$B$5:$B$500=C6),0),0)+4),"[to confirm]")</f>
        <v/>
      </c>
    </row>
    <row r="7">
      <c r="A7" s="6" t="inlineStr">
        <is>
          <t>W</t>
        </is>
      </c>
      <c r="B7" s="6" t="inlineStr">
        <is>
          <t>Water</t>
        </is>
      </c>
      <c r="C7" s="6" t="inlineStr">
        <is>
          <t>W03</t>
        </is>
      </c>
      <c r="D7" s="6" t="inlineStr">
        <is>
          <t>Water availability</t>
        </is>
      </c>
      <c r="E7" s="6" t="inlineStr">
        <is>
          <t>Water availability refers to the amount of water that is physically present and accessible in a given area over a specified period of time.</t>
        </is>
      </c>
      <c r="F7" s="6" t="inlineStr">
        <is>
          <t>Volume of water use</t>
        </is>
      </c>
      <c r="G7" s="13">
        <f>COUNTIFS(NBSAP_Commitments!$G$5:$G$1000,C7,NBSAP_Commitments!$B$5:$B$1000,Inputs!$B$6)</f>
        <v/>
      </c>
      <c r="H7" s="14">
        <f>SUMIFS(NBSAP_Commitments!$J$5:$J$1000,NBSAP_Commitments!$G$5:$G$1000,C7,NBSAP_Commitments!$B$5:$B$1000,Inputs!$B$6)/1000000000</f>
        <v/>
      </c>
      <c r="I7" s="15">
        <f>IF(H7&lt;=0,0,PERCENTRANK($H$5:$H$19,H7))</f>
        <v/>
      </c>
      <c r="J7" s="16">
        <f>IF(G7&gt;=Rubric!$B$22,5,IF(G7&gt;=Rubric!$B$23,4,IF(G7&gt;=Rubric!$B$24,3,IF(G7&gt;=Rubric!$B$25,2,1))))</f>
        <v/>
      </c>
      <c r="K7" s="16">
        <f>IF(H7&lt;=0,1,IF(I7&gt;=Rubric!$B$29,5,IF(I7&gt;=Rubric!$B$30,4,IF(I7&gt;=Rubric!$B$31,3,IF(I7&gt;=Rubric!$B$32,2,1)))))</f>
        <v/>
      </c>
      <c r="L7" s="8">
        <f>IFERROR(INDEX(NBSAP_Targets!$C:$C,MATCH(1,INDEX((NBSAP_Targets!$A$5:$A$500=Inputs!$B$6)*(NBSAP_Targets!$B$5:$B$500=C7),0),0)+4),"[to confirm]")</f>
        <v/>
      </c>
    </row>
    <row r="8">
      <c r="A8" s="6" t="inlineStr">
        <is>
          <t>AFF</t>
        </is>
      </c>
      <c r="B8" s="6" t="inlineStr">
        <is>
          <t>Agriculture, forestry and fisheries</t>
        </is>
      </c>
      <c r="C8" s="6" t="inlineStr">
        <is>
          <t>AFF01</t>
        </is>
      </c>
      <c r="D8" s="6" t="inlineStr">
        <is>
          <t>Sustainable forestry</t>
        </is>
      </c>
      <c r="E8" s="6" t="inlineStr">
        <is>
          <t>Sustainable forestry is the management of forests to generate long‑term economic returns while maintaining forest health, productivity, biodiversity, and carbon storage over time.</t>
        </is>
      </c>
      <c r="F8" s="6" t="inlineStr">
        <is>
          <t>Other biotic resource extraction (e.g. timber)</t>
        </is>
      </c>
      <c r="G8" s="13">
        <f>COUNTIFS(NBSAP_Commitments!$G$5:$G$1000,C8,NBSAP_Commitments!$B$5:$B$1000,Inputs!$B$6)</f>
        <v/>
      </c>
      <c r="H8" s="14">
        <f>SUMIFS(NBSAP_Commitments!$J$5:$J$1000,NBSAP_Commitments!$G$5:$G$1000,C8,NBSAP_Commitments!$B$5:$B$1000,Inputs!$B$6)/1000000000</f>
        <v/>
      </c>
      <c r="I8" s="15">
        <f>IF(H8&lt;=0,0,PERCENTRANK($H$5:$H$19,H8))</f>
        <v/>
      </c>
      <c r="J8" s="16">
        <f>IF(G8&gt;=Rubric!$B$22,5,IF(G8&gt;=Rubric!$B$23,4,IF(G8&gt;=Rubric!$B$24,3,IF(G8&gt;=Rubric!$B$25,2,1))))</f>
        <v/>
      </c>
      <c r="K8" s="16">
        <f>IF(H8&lt;=0,1,IF(I8&gt;=Rubric!$B$29,5,IF(I8&gt;=Rubric!$B$30,4,IF(I8&gt;=Rubric!$B$31,3,IF(I8&gt;=Rubric!$B$32,2,1)))))</f>
        <v/>
      </c>
      <c r="L8" s="8">
        <f>IFERROR(INDEX(NBSAP_Targets!$C:$C,MATCH(1,INDEX((NBSAP_Targets!$A$5:$A$500=Inputs!$B$6)*(NBSAP_Targets!$B$5:$B$500=C8),0),0)+4),"[to confirm]")</f>
        <v/>
      </c>
    </row>
    <row r="9">
      <c r="A9" s="6" t="inlineStr">
        <is>
          <t>AFF</t>
        </is>
      </c>
      <c r="B9" s="6" t="inlineStr">
        <is>
          <t>Agriculture, forestry and fisheries</t>
        </is>
      </c>
      <c r="C9" s="6" t="inlineStr">
        <is>
          <t>AFF02</t>
        </is>
      </c>
      <c r="D9" s="6" t="inlineStr">
        <is>
          <t>Sustainable agriculture</t>
        </is>
      </c>
      <c r="E9" s="6" t="inlineStr">
        <is>
          <t>Sustainable agriculture is food and fibre production that maintains long‑term farm productivity and profitability while protecting soil, water, biodiversity, and resilience to climate and market risks.</t>
        </is>
      </c>
      <c r="F9" s="6" t="inlineStr">
        <is>
          <t>Area of land use</t>
        </is>
      </c>
      <c r="G9" s="13">
        <f>COUNTIFS(NBSAP_Commitments!$G$5:$G$1000,C9,NBSAP_Commitments!$B$5:$B$1000,Inputs!$B$6)</f>
        <v/>
      </c>
      <c r="H9" s="14">
        <f>SUMIFS(NBSAP_Commitments!$J$5:$J$1000,NBSAP_Commitments!$G$5:$G$1000,C9,NBSAP_Commitments!$B$5:$B$1000,Inputs!$B$6)/1000000000</f>
        <v/>
      </c>
      <c r="I9" s="15">
        <f>IF(H9&lt;=0,0,PERCENTRANK($H$5:$H$19,H9))</f>
        <v/>
      </c>
      <c r="J9" s="16">
        <f>IF(G9&gt;=Rubric!$B$22,5,IF(G9&gt;=Rubric!$B$23,4,IF(G9&gt;=Rubric!$B$24,3,IF(G9&gt;=Rubric!$B$25,2,1))))</f>
        <v/>
      </c>
      <c r="K9" s="16">
        <f>IF(H9&lt;=0,1,IF(I9&gt;=Rubric!$B$29,5,IF(I9&gt;=Rubric!$B$30,4,IF(I9&gt;=Rubric!$B$31,3,IF(I9&gt;=Rubric!$B$32,2,1)))))</f>
        <v/>
      </c>
      <c r="L9" s="8">
        <f>IFERROR(INDEX(NBSAP_Targets!$C:$C,MATCH(1,INDEX((NBSAP_Targets!$A$5:$A$500=Inputs!$B$6)*(NBSAP_Targets!$B$5:$B$500=C9),0),0)+4),"[to confirm]")</f>
        <v/>
      </c>
    </row>
    <row r="10">
      <c r="A10" s="6" t="inlineStr">
        <is>
          <t>AFF</t>
        </is>
      </c>
      <c r="B10" s="6" t="inlineStr">
        <is>
          <t>Agriculture, forestry and fisheries</t>
        </is>
      </c>
      <c r="C10" s="6" t="inlineStr">
        <is>
          <t>AFF03</t>
        </is>
      </c>
      <c r="D10" s="6" t="inlineStr">
        <is>
          <t>Sustainable fisheries and aquaculture</t>
        </is>
      </c>
      <c r="E10" s="6" t="inlineStr">
        <is>
          <t>Sustainable fisheries are fisheries managed so fish stocks remain healthy and economically viable over the long term, avoiding overfishing and minimising ecosystem damage.</t>
        </is>
      </c>
      <c r="F10" s="6" t="inlineStr">
        <is>
          <t>Other biotic resource extraction (e.g. fish)</t>
        </is>
      </c>
      <c r="G10" s="13">
        <f>COUNTIFS(NBSAP_Commitments!$G$5:$G$1000,C10,NBSAP_Commitments!$B$5:$B$1000,Inputs!$B$6)</f>
        <v/>
      </c>
      <c r="H10" s="14">
        <f>SUMIFS(NBSAP_Commitments!$J$5:$J$1000,NBSAP_Commitments!$G$5:$G$1000,C10,NBSAP_Commitments!$B$5:$B$1000,Inputs!$B$6)/1000000000</f>
        <v/>
      </c>
      <c r="I10" s="15">
        <f>IF(H10&lt;=0,0,PERCENTRANK($H$5:$H$19,H10))</f>
        <v/>
      </c>
      <c r="J10" s="16">
        <f>IF(G10&gt;=Rubric!$B$22,5,IF(G10&gt;=Rubric!$B$23,4,IF(G10&gt;=Rubric!$B$24,3,IF(G10&gt;=Rubric!$B$25,2,1))))</f>
        <v/>
      </c>
      <c r="K10" s="16">
        <f>IF(H10&lt;=0,1,IF(I10&gt;=Rubric!$B$29,5,IF(I10&gt;=Rubric!$B$30,4,IF(I10&gt;=Rubric!$B$31,3,IF(I10&gt;=Rubric!$B$32,2,1)))))</f>
        <v/>
      </c>
      <c r="L10" s="8">
        <f>IFERROR(INDEX(NBSAP_Targets!$C:$C,MATCH(1,INDEX((NBSAP_Targets!$A$5:$A$500=Inputs!$B$6)*(NBSAP_Targets!$B$5:$B$500=C10),0),0)+4),"[to confirm]")</f>
        <v/>
      </c>
    </row>
    <row r="11">
      <c r="A11" s="6" t="inlineStr">
        <is>
          <t>UD</t>
        </is>
      </c>
      <c r="B11" s="6" t="inlineStr">
        <is>
          <t>Urban development and infrastructure</t>
        </is>
      </c>
      <c r="C11" s="6" t="inlineStr">
        <is>
          <t>UD01</t>
        </is>
      </c>
      <c r="D11" s="6" t="inlineStr">
        <is>
          <t>Nature-positive buildings</t>
        </is>
      </c>
      <c r="E11" s="6" t="inlineStr">
        <is>
          <t>Designing buildings and construction systems that reduce pressure on ecosystems and actively support biodiversity</t>
        </is>
      </c>
      <c r="F11" s="6" t="inlineStr">
        <is>
          <t>Other biotic resource extraction (e.g. timber)</t>
        </is>
      </c>
      <c r="G11" s="13">
        <f>COUNTIFS(NBSAP_Commitments!$G$5:$G$1000,C11,NBSAP_Commitments!$B$5:$B$1000,Inputs!$B$6)</f>
        <v/>
      </c>
      <c r="H11" s="14">
        <f>SUMIFS(NBSAP_Commitments!$J$5:$J$1000,NBSAP_Commitments!$G$5:$G$1000,C11,NBSAP_Commitments!$B$5:$B$1000,Inputs!$B$6)/1000000000</f>
        <v/>
      </c>
      <c r="I11" s="15">
        <f>IF(H11&lt;=0,0,PERCENTRANK($H$5:$H$19,H11))</f>
        <v/>
      </c>
      <c r="J11" s="16">
        <f>IF(G11&gt;=Rubric!$B$22,5,IF(G11&gt;=Rubric!$B$23,4,IF(G11&gt;=Rubric!$B$24,3,IF(G11&gt;=Rubric!$B$25,2,1))))</f>
        <v/>
      </c>
      <c r="K11" s="16">
        <f>IF(H11&lt;=0,1,IF(I11&gt;=Rubric!$B$29,5,IF(I11&gt;=Rubric!$B$30,4,IF(I11&gt;=Rubric!$B$31,3,IF(I11&gt;=Rubric!$B$32,2,1)))))</f>
        <v/>
      </c>
      <c r="L11" s="8">
        <f>IFERROR(INDEX(NBSAP_Targets!$C:$C,MATCH(1,INDEX((NBSAP_Targets!$A$5:$A$500=Inputs!$B$6)*(NBSAP_Targets!$B$5:$B$500=C11),0),0)+4),"[to confirm]")</f>
        <v/>
      </c>
    </row>
    <row r="12">
      <c r="A12" s="6" t="inlineStr">
        <is>
          <t>UD</t>
        </is>
      </c>
      <c r="B12" s="6" t="inlineStr">
        <is>
          <t>Urban development and infrastructure</t>
        </is>
      </c>
      <c r="C12" s="6" t="inlineStr">
        <is>
          <t>UD02</t>
        </is>
      </c>
      <c r="D12" s="6" t="inlineStr">
        <is>
          <t>Green-blue infrastructure, corridors and regeneration</t>
        </is>
      </c>
      <c r="E12" s="6" t="inlineStr">
        <is>
          <t>Economic activities that design, restore, and manage interconnected green and water‑based systems to enhance biodiversity, ecosystem connectivity, climate resilience, and nature‑positive urban and infrastructure regeneration.</t>
        </is>
      </c>
      <c r="F12" s="6" t="inlineStr">
        <is>
          <t>Area of land use</t>
        </is>
      </c>
      <c r="G12" s="13">
        <f>COUNTIFS(NBSAP_Commitments!$G$5:$G$1000,C12,NBSAP_Commitments!$B$5:$B$1000,Inputs!$B$6)</f>
        <v/>
      </c>
      <c r="H12" s="14">
        <f>SUMIFS(NBSAP_Commitments!$J$5:$J$1000,NBSAP_Commitments!$G$5:$G$1000,C12,NBSAP_Commitments!$B$5:$B$1000,Inputs!$B$6)/1000000000</f>
        <v/>
      </c>
      <c r="I12" s="15">
        <f>IF(H12&lt;=0,0,PERCENTRANK($H$5:$H$19,H12))</f>
        <v/>
      </c>
      <c r="J12" s="16">
        <f>IF(G12&gt;=Rubric!$B$22,5,IF(G12&gt;=Rubric!$B$23,4,IF(G12&gt;=Rubric!$B$24,3,IF(G12&gt;=Rubric!$B$25,2,1))))</f>
        <v/>
      </c>
      <c r="K12" s="16">
        <f>IF(H12&lt;=0,1,IF(I12&gt;=Rubric!$B$29,5,IF(I12&gt;=Rubric!$B$30,4,IF(I12&gt;=Rubric!$B$31,3,IF(I12&gt;=Rubric!$B$32,2,1)))))</f>
        <v/>
      </c>
      <c r="L12" s="8">
        <f>IFERROR(INDEX(NBSAP_Targets!$C:$C,MATCH(1,INDEX((NBSAP_Targets!$A$5:$A$500=Inputs!$B$6)*(NBSAP_Targets!$B$5:$B$500=C12),0),0)+4),"[to confirm]")</f>
        <v/>
      </c>
    </row>
    <row r="13">
      <c r="A13" s="6" t="inlineStr">
        <is>
          <t>UD</t>
        </is>
      </c>
      <c r="B13" s="6" t="inlineStr">
        <is>
          <t>Urban development and infrastructure</t>
        </is>
      </c>
      <c r="C13" s="6" t="inlineStr">
        <is>
          <t>UD03</t>
        </is>
      </c>
      <c r="D13" s="6" t="inlineStr">
        <is>
          <t>Land-use change and habitat protection</t>
        </is>
      </c>
      <c r="E13" s="6" t="inlineStr">
        <is>
          <t>Economic activities and interventions that prevent, reduce, or reverse the conversion and degradation of natural ecosystems by protecting habitats and influencing how land is allocated, managed, and conserved.</t>
        </is>
      </c>
      <c r="F13" s="6" t="inlineStr">
        <is>
          <t>Area of land use</t>
        </is>
      </c>
      <c r="G13" s="13">
        <f>COUNTIFS(NBSAP_Commitments!$G$5:$G$1000,C13,NBSAP_Commitments!$B$5:$B$1000,Inputs!$B$6)</f>
        <v/>
      </c>
      <c r="H13" s="14">
        <f>SUMIFS(NBSAP_Commitments!$J$5:$J$1000,NBSAP_Commitments!$G$5:$G$1000,C13,NBSAP_Commitments!$B$5:$B$1000,Inputs!$B$6)/1000000000</f>
        <v/>
      </c>
      <c r="I13" s="15">
        <f>IF(H13&lt;=0,0,PERCENTRANK($H$5:$H$19,H13))</f>
        <v/>
      </c>
      <c r="J13" s="16">
        <f>IF(G13&gt;=Rubric!$B$22,5,IF(G13&gt;=Rubric!$B$23,4,IF(G13&gt;=Rubric!$B$24,3,IF(G13&gt;=Rubric!$B$25,2,1))))</f>
        <v/>
      </c>
      <c r="K13" s="16">
        <f>IF(H13&lt;=0,1,IF(I13&gt;=Rubric!$B$29,5,IF(I13&gt;=Rubric!$B$30,4,IF(I13&gt;=Rubric!$B$31,3,IF(I13&gt;=Rubric!$B$32,2,1)))))</f>
        <v/>
      </c>
      <c r="L13" s="8">
        <f>IFERROR(INDEX(NBSAP_Targets!$C:$C,MATCH(1,INDEX((NBSAP_Targets!$A$5:$A$500=Inputs!$B$6)*(NBSAP_Targets!$B$5:$B$500=C13),0),0)+4),"[to confirm]")</f>
        <v/>
      </c>
    </row>
    <row r="14">
      <c r="A14" s="6" t="inlineStr">
        <is>
          <t>DM</t>
        </is>
      </c>
      <c r="B14" s="6" t="inlineStr">
        <is>
          <t>Disaster management and adaptation</t>
        </is>
      </c>
      <c r="C14" s="6" t="inlineStr">
        <is>
          <t>DM01</t>
        </is>
      </c>
      <c r="D14" s="6" t="inlineStr">
        <is>
          <t>Risk reduction and prevention</t>
        </is>
      </c>
      <c r="E14" s="6" t="inlineStr">
        <is>
          <t>Actions that protect, restore, or sustainably manage biodiversity and ecosystems to reduce the likelihood and intensity of hazards by addressing ecological degradation before risks materialise.</t>
        </is>
      </c>
      <c r="F14" s="6" t="inlineStr">
        <is>
          <t>Disturbance</t>
        </is>
      </c>
      <c r="G14" s="13">
        <f>COUNTIFS(NBSAP_Commitments!$G$5:$G$1000,C14,NBSAP_Commitments!$B$5:$B$1000,Inputs!$B$6)</f>
        <v/>
      </c>
      <c r="H14" s="14">
        <f>SUMIFS(NBSAP_Commitments!$J$5:$J$1000,NBSAP_Commitments!$G$5:$G$1000,C14,NBSAP_Commitments!$B$5:$B$1000,Inputs!$B$6)/1000000000</f>
        <v/>
      </c>
      <c r="I14" s="15">
        <f>IF(H14&lt;=0,0,PERCENTRANK($H$5:$H$19,H14))</f>
        <v/>
      </c>
      <c r="J14" s="16">
        <f>IF(G14&gt;=Rubric!$B$22,5,IF(G14&gt;=Rubric!$B$23,4,IF(G14&gt;=Rubric!$B$24,3,IF(G14&gt;=Rubric!$B$25,2,1))))</f>
        <v/>
      </c>
      <c r="K14" s="16">
        <f>IF(H14&lt;=0,1,IF(I14&gt;=Rubric!$B$29,5,IF(I14&gt;=Rubric!$B$30,4,IF(I14&gt;=Rubric!$B$31,3,IF(I14&gt;=Rubric!$B$32,2,1)))))</f>
        <v/>
      </c>
      <c r="L14" s="8">
        <f>IFERROR(INDEX(NBSAP_Targets!$C:$C,MATCH(1,INDEX((NBSAP_Targets!$A$5:$A$500=Inputs!$B$6)*(NBSAP_Targets!$B$5:$B$500=C14),0),0)+4),"[to confirm]")</f>
        <v/>
      </c>
    </row>
    <row r="15">
      <c r="A15" s="6" t="inlineStr">
        <is>
          <t>DM</t>
        </is>
      </c>
      <c r="B15" s="6" t="inlineStr">
        <is>
          <t>Disaster management and adaptation</t>
        </is>
      </c>
      <c r="C15" s="6" t="inlineStr">
        <is>
          <t>DM02</t>
        </is>
      </c>
      <c r="D15" s="6" t="inlineStr">
        <is>
          <t>Flood mitigation</t>
        </is>
      </c>
      <c r="E15" s="6" t="inlineStr">
        <is>
          <t>Flood mitigation refers to reducing the likelihood and impacts of flooding by working with natural systems—such as wetlands, floodplains, soils, and vegetation—to slow, store, and safely absorb excess water while enhancing ecosystem health.</t>
        </is>
      </c>
      <c r="F15" s="6" t="inlineStr">
        <is>
          <t>Disturbance</t>
        </is>
      </c>
      <c r="G15" s="13">
        <f>COUNTIFS(NBSAP_Commitments!$G$5:$G$1000,C15,NBSAP_Commitments!$B$5:$B$1000,Inputs!$B$6)</f>
        <v/>
      </c>
      <c r="H15" s="14">
        <f>SUMIFS(NBSAP_Commitments!$J$5:$J$1000,NBSAP_Commitments!$G$5:$G$1000,C15,NBSAP_Commitments!$B$5:$B$1000,Inputs!$B$6)/1000000000</f>
        <v/>
      </c>
      <c r="I15" s="15">
        <f>IF(H15&lt;=0,0,PERCENTRANK($H$5:$H$19,H15))</f>
        <v/>
      </c>
      <c r="J15" s="16">
        <f>IF(G15&gt;=Rubric!$B$22,5,IF(G15&gt;=Rubric!$B$23,4,IF(G15&gt;=Rubric!$B$24,3,IF(G15&gt;=Rubric!$B$25,2,1))))</f>
        <v/>
      </c>
      <c r="K15" s="16">
        <f>IF(H15&lt;=0,1,IF(I15&gt;=Rubric!$B$29,5,IF(I15&gt;=Rubric!$B$30,4,IF(I15&gt;=Rubric!$B$31,3,IF(I15&gt;=Rubric!$B$32,2,1)))))</f>
        <v/>
      </c>
      <c r="L15" s="8">
        <f>IFERROR(INDEX(NBSAP_Targets!$C:$C,MATCH(1,INDEX((NBSAP_Targets!$A$5:$A$500=Inputs!$B$6)*(NBSAP_Targets!$B$5:$B$500=C15),0),0)+4),"[to confirm]")</f>
        <v/>
      </c>
    </row>
    <row r="16">
      <c r="A16" s="6" t="inlineStr">
        <is>
          <t>DM</t>
        </is>
      </c>
      <c r="B16" s="6" t="inlineStr">
        <is>
          <t>Disaster management and adaptation</t>
        </is>
      </c>
      <c r="C16" s="6" t="inlineStr">
        <is>
          <t>DM03</t>
        </is>
      </c>
      <c r="D16" s="6" t="inlineStr">
        <is>
          <t>Long-term adaptation and resilience</t>
        </is>
      </c>
      <c r="E16" s="6" t="inlineStr">
        <is>
          <t>Strategies that enhance the capacity of biodiversity and ecosystems to adapt to long‑term and compounding pressures, enabling them to withstand, recover from, and continue functioning under future environmental change.</t>
        </is>
      </c>
      <c r="F16" s="6" t="inlineStr">
        <is>
          <t>Disturbance</t>
        </is>
      </c>
      <c r="G16" s="13">
        <f>COUNTIFS(NBSAP_Commitments!$G$5:$G$1000,C16,NBSAP_Commitments!$B$5:$B$1000,Inputs!$B$6)</f>
        <v/>
      </c>
      <c r="H16" s="14">
        <f>SUMIFS(NBSAP_Commitments!$J$5:$J$1000,NBSAP_Commitments!$G$5:$G$1000,C16,NBSAP_Commitments!$B$5:$B$1000,Inputs!$B$6)/1000000000</f>
        <v/>
      </c>
      <c r="I16" s="15">
        <f>IF(H16&lt;=0,0,PERCENTRANK($H$5:$H$19,H16))</f>
        <v/>
      </c>
      <c r="J16" s="16">
        <f>IF(G16&gt;=Rubric!$B$22,5,IF(G16&gt;=Rubric!$B$23,4,IF(G16&gt;=Rubric!$B$24,3,IF(G16&gt;=Rubric!$B$25,2,1))))</f>
        <v/>
      </c>
      <c r="K16" s="16">
        <f>IF(H16&lt;=0,1,IF(I16&gt;=Rubric!$B$29,5,IF(I16&gt;=Rubric!$B$30,4,IF(I16&gt;=Rubric!$B$31,3,IF(I16&gt;=Rubric!$B$32,2,1)))))</f>
        <v/>
      </c>
      <c r="L16" s="8">
        <f>IFERROR(INDEX(NBSAP_Targets!$C:$C,MATCH(1,INDEX((NBSAP_Targets!$A$5:$A$500=Inputs!$B$6)*(NBSAP_Targets!$B$5:$B$500=C16),0),0)+4),"[to confirm]")</f>
        <v/>
      </c>
    </row>
    <row r="17">
      <c r="A17" s="6" t="inlineStr">
        <is>
          <t>P</t>
        </is>
      </c>
      <c r="B17" s="6" t="inlineStr">
        <is>
          <t>Pollution and waste</t>
        </is>
      </c>
      <c r="C17" s="6" t="inlineStr">
        <is>
          <t>P01</t>
        </is>
      </c>
      <c r="D17" s="6" t="inlineStr">
        <is>
          <t>Innovation in sustainable packaging and biodegradable materials</t>
        </is>
      </c>
      <c r="E17" s="6" t="inlineStr">
        <is>
          <t>The development and deployment of packaging designs and materials that reduce pollution by minimising resource use and safely breaking down through biological processes, thereby avoiding long‑term environmental persistence and harm to ecosystems.</t>
        </is>
      </c>
      <c r="F17" s="6" t="inlineStr">
        <is>
          <t>Generation and release of solid waste</t>
        </is>
      </c>
      <c r="G17" s="13">
        <f>COUNTIFS(NBSAP_Commitments!$G$5:$G$1000,C17,NBSAP_Commitments!$B$5:$B$1000,Inputs!$B$6)</f>
        <v/>
      </c>
      <c r="H17" s="14">
        <f>SUMIFS(NBSAP_Commitments!$J$5:$J$1000,NBSAP_Commitments!$G$5:$G$1000,C17,NBSAP_Commitments!$B$5:$B$1000,Inputs!$B$6)/1000000000</f>
        <v/>
      </c>
      <c r="I17" s="15">
        <f>IF(H17&lt;=0,0,PERCENTRANK($H$5:$H$19,H17))</f>
        <v/>
      </c>
      <c r="J17" s="16">
        <f>IF(G17&gt;=Rubric!$B$22,5,IF(G17&gt;=Rubric!$B$23,4,IF(G17&gt;=Rubric!$B$24,3,IF(G17&gt;=Rubric!$B$25,2,1))))</f>
        <v/>
      </c>
      <c r="K17" s="16">
        <f>IF(H17&lt;=0,1,IF(I17&gt;=Rubric!$B$29,5,IF(I17&gt;=Rubric!$B$30,4,IF(I17&gt;=Rubric!$B$31,3,IF(I17&gt;=Rubric!$B$32,2,1)))))</f>
        <v/>
      </c>
      <c r="L17" s="8">
        <f>IFERROR(INDEX(NBSAP_Targets!$C:$C,MATCH(1,INDEX((NBSAP_Targets!$A$5:$A$500=Inputs!$B$6)*(NBSAP_Targets!$B$5:$B$500=C17),0),0)+4),"[to confirm]")</f>
        <v/>
      </c>
    </row>
    <row r="18">
      <c r="A18" s="6" t="inlineStr">
        <is>
          <t>P</t>
        </is>
      </c>
      <c r="B18" s="6" t="inlineStr">
        <is>
          <t>Pollution and waste</t>
        </is>
      </c>
      <c r="C18" s="6" t="inlineStr">
        <is>
          <t>P02</t>
        </is>
      </c>
      <c r="D18" s="6" t="inlineStr">
        <is>
          <t>Waste &amp; circular economy</t>
        </is>
      </c>
      <c r="E18" s="6" t="inlineStr">
        <is>
          <t>Systems and practices that prevent waste generation by keeping materials and products in use at their highest value through reuse, repair, recycling, and regenerative design, reducing pollution and pressure on natural resources.</t>
        </is>
      </c>
      <c r="F18" s="6" t="inlineStr">
        <is>
          <t>Generation and release of solid waste</t>
        </is>
      </c>
      <c r="G18" s="13">
        <f>COUNTIFS(NBSAP_Commitments!$G$5:$G$1000,C18,NBSAP_Commitments!$B$5:$B$1000,Inputs!$B$6)</f>
        <v/>
      </c>
      <c r="H18" s="14">
        <f>SUMIFS(NBSAP_Commitments!$J$5:$J$1000,NBSAP_Commitments!$G$5:$G$1000,C18,NBSAP_Commitments!$B$5:$B$1000,Inputs!$B$6)/1000000000</f>
        <v/>
      </c>
      <c r="I18" s="15">
        <f>IF(H18&lt;=0,0,PERCENTRANK($H$5:$H$19,H18))</f>
        <v/>
      </c>
      <c r="J18" s="16">
        <f>IF(G18&gt;=Rubric!$B$22,5,IF(G18&gt;=Rubric!$B$23,4,IF(G18&gt;=Rubric!$B$24,3,IF(G18&gt;=Rubric!$B$25,2,1))))</f>
        <v/>
      </c>
      <c r="K18" s="16">
        <f>IF(H18&lt;=0,1,IF(I18&gt;=Rubric!$B$29,5,IF(I18&gt;=Rubric!$B$30,4,IF(I18&gt;=Rubric!$B$31,3,IF(I18&gt;=Rubric!$B$32,2,1)))))</f>
        <v/>
      </c>
      <c r="L18" s="8">
        <f>IFERROR(INDEX(NBSAP_Targets!$C:$C,MATCH(1,INDEX((NBSAP_Targets!$A$5:$A$500=Inputs!$B$6)*(NBSAP_Targets!$B$5:$B$500=C18),0),0)+4),"[to confirm]")</f>
        <v/>
      </c>
    </row>
    <row r="19">
      <c r="A19" s="6" t="inlineStr">
        <is>
          <t>P</t>
        </is>
      </c>
      <c r="B19" s="6" t="inlineStr">
        <is>
          <t>Pollution and waste</t>
        </is>
      </c>
      <c r="C19" s="6" t="inlineStr">
        <is>
          <t>P03</t>
        </is>
      </c>
      <c r="D19" s="6" t="inlineStr">
        <is>
          <t>Air pollution, disturbances &amp; noise pollution</t>
        </is>
      </c>
      <c r="E19" s="6" t="inlineStr">
        <is>
          <t>Emissions and physical disturbances arising from human activities—such as airborne pollutants, artificial noise, and other disruptions—that impair air quality and interfere with ecosystem functioning, species behaviour, and biodiversity health.</t>
        </is>
      </c>
      <c r="F19" s="6" t="inlineStr">
        <is>
          <t>Emissions of non-GHG air pollutants</t>
        </is>
      </c>
      <c r="G19" s="13">
        <f>COUNTIFS(NBSAP_Commitments!$G$5:$G$1000,C19,NBSAP_Commitments!$B$5:$B$1000,Inputs!$B$6)</f>
        <v/>
      </c>
      <c r="H19" s="14">
        <f>SUMIFS(NBSAP_Commitments!$J$5:$J$1000,NBSAP_Commitments!$G$5:$G$1000,C19,NBSAP_Commitments!$B$5:$B$1000,Inputs!$B$6)/1000000000</f>
        <v/>
      </c>
      <c r="I19" s="15">
        <f>IF(H19&lt;=0,0,PERCENTRANK($H$5:$H$19,H19))</f>
        <v/>
      </c>
      <c r="J19" s="16">
        <f>IF(G19&gt;=Rubric!$B$22,5,IF(G19&gt;=Rubric!$B$23,4,IF(G19&gt;=Rubric!$B$24,3,IF(G19&gt;=Rubric!$B$25,2,1))))</f>
        <v/>
      </c>
      <c r="K19" s="16">
        <f>IF(H19&lt;=0,1,IF(I19&gt;=Rubric!$B$29,5,IF(I19&gt;=Rubric!$B$30,4,IF(I19&gt;=Rubric!$B$31,3,IF(I19&gt;=Rubric!$B$32,2,1)))))</f>
        <v/>
      </c>
      <c r="L19" s="8">
        <f>IFERROR(INDEX(NBSAP_Targets!$C:$C,MATCH(1,INDEX((NBSAP_Targets!$A$5:$A$500=Inputs!$B$6)*(NBSAP_Targets!$B$5:$B$500=C19),0),0)+4),"[to confirm]")</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93"/>
  <sheetViews>
    <sheetView workbookViewId="0">
      <pane ySplit="4" topLeftCell="A5" activePane="bottomLeft" state="frozen"/>
      <selection pane="bottomLeft" activeCell="A1" sqref="A1"/>
    </sheetView>
  </sheetViews>
  <sheetFormatPr baseColWidth="8" defaultRowHeight="15"/>
  <cols>
    <col width="9" customWidth="1" min="1" max="1"/>
    <col width="9" customWidth="1" min="2" max="2"/>
    <col width="11" customWidth="1" min="3" max="3"/>
    <col width="11" customWidth="1" min="4" max="4"/>
    <col width="60" customWidth="1" min="5" max="5"/>
    <col width="15" customWidth="1" min="6" max="6"/>
    <col width="13" customWidth="1" min="7" max="7"/>
    <col width="8" customWidth="1" min="8" max="8"/>
    <col width="11" customWidth="1" min="9" max="9"/>
    <col width="15" customWidth="1" min="10" max="10"/>
    <col width="22" customWidth="1" min="11" max="11"/>
    <col width="20" customWidth="1" min="12" max="12"/>
    <col width="40" customWidth="1" min="13" max="13"/>
  </cols>
  <sheetData>
    <row r="1">
      <c r="A1" s="1" t="inlineStr">
        <is>
          <t>NBSAP commitments – all countries (from EY workbook, Market_Examples)</t>
        </is>
      </c>
    </row>
    <row r="2">
      <c r="A2" s="10" t="inlineStr">
        <is>
          <t>Paste refreshed rows from the EY workbook as values. Column G is a formula: always use the sub-market parent.</t>
        </is>
      </c>
    </row>
    <row r="4">
      <c r="A4" s="4" t="inlineStr">
        <is>
          <t>Example_ID</t>
        </is>
      </c>
      <c r="B4" s="4" t="inlineStr">
        <is>
          <t>Country_ID</t>
        </is>
      </c>
      <c r="C4" s="4" t="inlineStr">
        <is>
          <t>Market_ID (as tagged)</t>
        </is>
      </c>
      <c r="D4" s="4" t="inlineStr">
        <is>
          <t>Sub_Market_ID</t>
        </is>
      </c>
      <c r="E4" s="4" t="inlineStr">
        <is>
          <t>Commitment</t>
        </is>
      </c>
      <c r="F4" s="4" t="inlineStr">
        <is>
          <t>Value (local)</t>
        </is>
      </c>
      <c r="G4" s="4" t="inlineStr">
        <is>
          <t>SubTheme_ID (taxonomy parent)</t>
        </is>
      </c>
      <c r="H4" s="4" t="inlineStr">
        <is>
          <t>Currency</t>
        </is>
      </c>
      <c r="I4" s="4" t="inlineStr">
        <is>
          <t>Tag consistent?</t>
        </is>
      </c>
      <c r="J4" s="4" t="inlineStr">
        <is>
          <t>Value (USD)</t>
        </is>
      </c>
      <c r="K4" s="4" t="inlineStr">
        <is>
          <t>Financing method</t>
        </is>
      </c>
      <c r="L4" s="4" t="inlineStr">
        <is>
          <t>Financial product</t>
        </is>
      </c>
      <c r="M4" s="4" t="inlineStr">
        <is>
          <t>Source</t>
        </is>
      </c>
    </row>
    <row r="5">
      <c r="A5" s="6" t="inlineStr">
        <is>
          <t>M01</t>
        </is>
      </c>
      <c r="B5" s="6" t="inlineStr">
        <is>
          <t>GBR</t>
        </is>
      </c>
      <c r="C5" s="6" t="inlineStr">
        <is>
          <t>DM01</t>
        </is>
      </c>
      <c r="D5" s="6" t="inlineStr">
        <is>
          <t>A03</t>
        </is>
      </c>
      <c r="E5" s="6" t="inlineStr">
        <is>
          <t>Investment into storm overflows to deliver 50% reduction in spills</t>
        </is>
      </c>
      <c r="F5" s="17" t="n">
        <v>10000000000</v>
      </c>
      <c r="G5" s="8">
        <f>IFERROR(INDEX(Sub_Markets!$B$5:$B$77,MATCH(D5,Sub_Markets!$A$5:$A$77,0)),C5)</f>
        <v/>
      </c>
      <c r="H5" s="6" t="inlineStr">
        <is>
          <t>GBP</t>
        </is>
      </c>
      <c r="I5" s="8">
        <f>IF(C5=G5,"Yes","No")</f>
        <v/>
      </c>
      <c r="J5" s="17" t="n">
        <v>13200000000</v>
      </c>
      <c r="K5" s="6" t="inlineStr">
        <is>
          <t>Equity and debt finance</t>
        </is>
      </c>
      <c r="L5" s="6" t="inlineStr">
        <is>
          <t>Term debt and equity</t>
        </is>
      </c>
      <c r="M5" s="6" t="inlineStr">
        <is>
          <t>NBSAP</t>
        </is>
      </c>
    </row>
    <row r="6">
      <c r="A6" s="6" t="inlineStr">
        <is>
          <t>M02</t>
        </is>
      </c>
      <c r="B6" s="6" t="inlineStr">
        <is>
          <t>GBR</t>
        </is>
      </c>
      <c r="C6" s="6" t="inlineStr">
        <is>
          <t>W01</t>
        </is>
      </c>
      <c r="D6" s="6" t="inlineStr">
        <is>
          <t>WU01</t>
        </is>
      </c>
      <c r="E6" s="6" t="inlineStr">
        <is>
          <t>Water Management Grant to fund more on-farm reservoirs and better irrigation equipment</t>
        </is>
      </c>
      <c r="F6" s="17" t="n">
        <v>10000000</v>
      </c>
      <c r="G6" s="8">
        <f>IFERROR(INDEX(Sub_Markets!$B$5:$B$77,MATCH(D6,Sub_Markets!$A$5:$A$77,0)),C6)</f>
        <v/>
      </c>
      <c r="H6" s="6" t="inlineStr">
        <is>
          <t>GBP</t>
        </is>
      </c>
      <c r="I6" s="8">
        <f>IF(C6=G6,"Yes","No")</f>
        <v/>
      </c>
      <c r="J6" s="17" t="n">
        <v>13200000</v>
      </c>
      <c r="K6" s="6" t="inlineStr">
        <is>
          <t>Grant financing</t>
        </is>
      </c>
      <c r="L6" s="6" t="inlineStr">
        <is>
          <t>Restricted funds</t>
        </is>
      </c>
      <c r="M6" s="6" t="inlineStr">
        <is>
          <t>More funding for farmers as new blueprint for water announced - GOV.UK</t>
        </is>
      </c>
    </row>
    <row r="7">
      <c r="A7" s="6" t="inlineStr">
        <is>
          <t>M03</t>
        </is>
      </c>
      <c r="B7" s="6" t="inlineStr">
        <is>
          <t>GBR</t>
        </is>
      </c>
      <c r="C7" s="6" t="inlineStr">
        <is>
          <t>W01</t>
        </is>
      </c>
      <c r="D7" s="6" t="inlineStr">
        <is>
          <t>WU02</t>
        </is>
      </c>
      <c r="E7" s="6" t="inlineStr">
        <is>
          <t>Water efficient fund to support new water efficiency approaches between 2025 and 2030</t>
        </is>
      </c>
      <c r="F7" s="17" t="n">
        <v>100000000</v>
      </c>
      <c r="G7" s="8">
        <f>IFERROR(INDEX(Sub_Markets!$B$5:$B$77,MATCH(D7,Sub_Markets!$A$5:$A$77,0)),C7)</f>
        <v/>
      </c>
      <c r="H7" s="6" t="inlineStr">
        <is>
          <t>GBP</t>
        </is>
      </c>
      <c r="I7" s="8">
        <f>IF(C7=G7,"Yes","No")</f>
        <v/>
      </c>
      <c r="J7" s="17" t="n">
        <v>132000000</v>
      </c>
      <c r="K7" s="6" t="inlineStr">
        <is>
          <t>Grant financing</t>
        </is>
      </c>
      <c r="L7" s="6" t="inlineStr">
        <is>
          <t>Accelerators</t>
        </is>
      </c>
      <c r="M7" s="6" t="inlineStr">
        <is>
          <t>MOSL responds to Ofwat's second consultation on its £100m water efficiency fund - MOSL</t>
        </is>
      </c>
    </row>
    <row r="8">
      <c r="A8" s="6" t="inlineStr">
        <is>
          <t>M04</t>
        </is>
      </c>
      <c r="B8" s="6" t="inlineStr">
        <is>
          <t>GBR</t>
        </is>
      </c>
      <c r="C8" s="6" t="inlineStr">
        <is>
          <t>W02</t>
        </is>
      </c>
      <c r="D8" s="6" t="inlineStr">
        <is>
          <t>WU09</t>
        </is>
      </c>
      <c r="E8" s="6" t="inlineStr">
        <is>
          <t>Funding for comprehensive cross border research to understand pollution and other pressures</t>
        </is>
      </c>
      <c r="F8" s="17" t="n">
        <v>1000000</v>
      </c>
      <c r="G8" s="8">
        <f>IFERROR(INDEX(Sub_Markets!$B$5:$B$77,MATCH(D8,Sub_Markets!$A$5:$A$77,0)),C8)</f>
        <v/>
      </c>
      <c r="H8" s="6" t="inlineStr">
        <is>
          <t>GBP</t>
        </is>
      </c>
      <c r="I8" s="8">
        <f>IF(C8=G8,"Yes","No")</f>
        <v/>
      </c>
      <c r="J8" s="17" t="n">
        <v>1320000</v>
      </c>
      <c r="K8" s="6" t="inlineStr">
        <is>
          <t>Grant financing</t>
        </is>
      </c>
      <c r="L8" s="6" t="inlineStr">
        <is>
          <t>Accelerators</t>
        </is>
      </c>
      <c r="M8" s="6" t="inlineStr">
        <is>
          <t>NBSAP</t>
        </is>
      </c>
    </row>
    <row r="9">
      <c r="A9" s="6" t="inlineStr">
        <is>
          <t>M05</t>
        </is>
      </c>
      <c r="B9" s="6" t="inlineStr">
        <is>
          <t>GBR</t>
        </is>
      </c>
      <c r="C9" s="6" t="inlineStr">
        <is>
          <t>W02</t>
        </is>
      </c>
      <c r="D9" s="6" t="inlineStr">
        <is>
          <t>WU14</t>
        </is>
      </c>
      <c r="E9" s="6" t="inlineStr">
        <is>
          <t>Investment into restoration of chalk stream</t>
        </is>
      </c>
      <c r="F9" s="17" t="n">
        <v>2000000000</v>
      </c>
      <c r="G9" s="8">
        <f>IFERROR(INDEX(Sub_Markets!$B$5:$B$77,MATCH(D9,Sub_Markets!$A$5:$A$77,0)),C9)</f>
        <v/>
      </c>
      <c r="H9" s="6" t="inlineStr">
        <is>
          <t>GBP</t>
        </is>
      </c>
      <c r="I9" s="8">
        <f>IF(C9=G9,"Yes","No")</f>
        <v/>
      </c>
      <c r="J9" s="17" t="n">
        <v>2640000000</v>
      </c>
      <c r="K9" s="6" t="inlineStr">
        <is>
          <t>Equity and debt finance</t>
        </is>
      </c>
      <c r="L9" s="6" t="inlineStr">
        <is>
          <t>Term debt and equity</t>
        </is>
      </c>
      <c r="M9" s="6" t="inlineStr">
        <is>
          <t>NBSAP</t>
        </is>
      </c>
    </row>
    <row r="10">
      <c r="A10" s="6" t="inlineStr">
        <is>
          <t>M06</t>
        </is>
      </c>
      <c r="B10" s="6" t="inlineStr">
        <is>
          <t>GBR</t>
        </is>
      </c>
      <c r="C10" s="6" t="inlineStr">
        <is>
          <t>W03</t>
        </is>
      </c>
      <c r="D10" s="6" t="inlineStr">
        <is>
          <t>WU15</t>
        </is>
      </c>
      <c r="E10" s="6" t="inlineStr">
        <is>
          <t>Funding based on water fines and penalties into water environment</t>
        </is>
      </c>
      <c r="F10" s="17" t="n">
        <v>100000000</v>
      </c>
      <c r="G10" s="8">
        <f>IFERROR(INDEX(Sub_Markets!$B$5:$B$77,MATCH(D10,Sub_Markets!$A$5:$A$77,0)),C10)</f>
        <v/>
      </c>
      <c r="H10" s="6" t="inlineStr">
        <is>
          <t>GBP</t>
        </is>
      </c>
      <c r="I10" s="8">
        <f>IF(C10=G10,"Yes","No")</f>
        <v/>
      </c>
      <c r="J10" s="17" t="n">
        <v>132000000</v>
      </c>
      <c r="K10" s="6" t="inlineStr">
        <is>
          <t>Grant financing</t>
        </is>
      </c>
      <c r="L10" s="6" t="inlineStr">
        <is>
          <t>Restricted funds</t>
        </is>
      </c>
      <c r="M10" s="6" t="inlineStr">
        <is>
          <t>NBSAP</t>
        </is>
      </c>
    </row>
    <row r="11">
      <c r="A11" s="6" t="inlineStr">
        <is>
          <t>M07</t>
        </is>
      </c>
      <c r="B11" s="6" t="inlineStr">
        <is>
          <t>GBR</t>
        </is>
      </c>
      <c r="C11" s="6" t="inlineStr">
        <is>
          <t>W01</t>
        </is>
      </c>
      <c r="D11" s="6" t="inlineStr">
        <is>
          <t>WU01</t>
        </is>
      </c>
      <c r="E11" s="6" t="inlineStr">
        <is>
          <t>Funding under Catchment Sensitive Farming programme to advise farmers on reducing pollution</t>
        </is>
      </c>
      <c r="F11" s="17" t="n">
        <v>30000000</v>
      </c>
      <c r="G11" s="8">
        <f>IFERROR(INDEX(Sub_Markets!$B$5:$B$77,MATCH(D11,Sub_Markets!$A$5:$A$77,0)),C11)</f>
        <v/>
      </c>
      <c r="H11" s="6" t="inlineStr">
        <is>
          <t>GBP</t>
        </is>
      </c>
      <c r="I11" s="8">
        <f>IF(C11=G11,"Yes","No")</f>
        <v/>
      </c>
      <c r="J11" s="17" t="n">
        <v>39600000</v>
      </c>
      <c r="K11" s="6" t="inlineStr">
        <is>
          <t>Grant financing</t>
        </is>
      </c>
      <c r="L11" s="6" t="inlineStr">
        <is>
          <t>Restricted funds</t>
        </is>
      </c>
      <c r="M11" s="6" t="inlineStr">
        <is>
          <t>Catchment Sensitive Farming funding almost doubled to help farmers tackle water pollution - CIWEM</t>
        </is>
      </c>
    </row>
    <row r="12">
      <c r="A12" s="6" t="inlineStr">
        <is>
          <t>M08</t>
        </is>
      </c>
      <c r="B12" s="6" t="inlineStr">
        <is>
          <t>GBR</t>
        </is>
      </c>
      <c r="C12" s="6" t="inlineStr">
        <is>
          <t>W02</t>
        </is>
      </c>
      <c r="D12" s="6" t="inlineStr">
        <is>
          <t>WU11</t>
        </is>
      </c>
      <c r="E12" s="6" t="inlineStr">
        <is>
          <t>Investment into vital infrastructure to improve the water quality of rivers, lakes and coastal waters and secure future water supplies</t>
        </is>
      </c>
      <c r="F12" s="17" t="n">
        <v>1600000000</v>
      </c>
      <c r="G12" s="8">
        <f>IFERROR(INDEX(Sub_Markets!$B$5:$B$77,MATCH(D12,Sub_Markets!$A$5:$A$77,0)),C12)</f>
        <v/>
      </c>
      <c r="H12" s="6" t="inlineStr">
        <is>
          <t>GBP</t>
        </is>
      </c>
      <c r="I12" s="8">
        <f>IF(C12=G12,"Yes","No")</f>
        <v/>
      </c>
      <c r="J12" s="17" t="n">
        <v>2112000000</v>
      </c>
      <c r="K12" s="6" t="inlineStr">
        <is>
          <t>Equity and debt finance</t>
        </is>
      </c>
      <c r="L12" s="6" t="inlineStr">
        <is>
          <t>Term debt and equity</t>
        </is>
      </c>
      <c r="M12" s="6" t="inlineStr">
        <is>
          <t>Plan for Water: our integrated plan for delivering clean and plentiful water - GOV.UK</t>
        </is>
      </c>
    </row>
    <row r="13">
      <c r="A13" s="6" t="inlineStr">
        <is>
          <t>M09</t>
        </is>
      </c>
      <c r="B13" s="6" t="inlineStr">
        <is>
          <t>GBR</t>
        </is>
      </c>
      <c r="C13" s="6" t="inlineStr">
        <is>
          <t>DM01</t>
        </is>
      </c>
      <c r="D13" s="6" t="inlineStr">
        <is>
          <t>A03</t>
        </is>
      </c>
      <c r="E13" s="6" t="inlineStr">
        <is>
          <t>Reduce storm overflow discharges</t>
        </is>
      </c>
      <c r="F13" s="17" t="n">
        <v>2240000000</v>
      </c>
      <c r="G13" s="8">
        <f>IFERROR(INDEX(Sub_Markets!$B$5:$B$77,MATCH(D13,Sub_Markets!$A$5:$A$77,0)),C13)</f>
        <v/>
      </c>
      <c r="H13" s="6" t="inlineStr">
        <is>
          <t>GBP</t>
        </is>
      </c>
      <c r="I13" s="8">
        <f>IF(C13=G13,"Yes","No")</f>
        <v/>
      </c>
      <c r="J13" s="17" t="n">
        <v>2956800000</v>
      </c>
      <c r="K13" s="6" t="inlineStr">
        <is>
          <t>Equity and debt finance</t>
        </is>
      </c>
      <c r="L13" s="6" t="inlineStr">
        <is>
          <t>Term debt and equity</t>
        </is>
      </c>
      <c r="M13" s="6" t="inlineStr">
        <is>
          <t>Plan for Water: our integrated plan for delivering clean and plentiful water - GOV.UK</t>
        </is>
      </c>
    </row>
    <row r="14">
      <c r="A14" s="6" t="inlineStr">
        <is>
          <t>M10</t>
        </is>
      </c>
      <c r="B14" s="6" t="inlineStr">
        <is>
          <t>GBR</t>
        </is>
      </c>
      <c r="C14" s="6" t="inlineStr">
        <is>
          <t>W01</t>
        </is>
      </c>
      <c r="D14" s="6" t="inlineStr">
        <is>
          <t>WU01</t>
        </is>
      </c>
      <c r="E14" s="6" t="inlineStr">
        <is>
          <t>Slurry Infrastructure Grant to reduce run-off</t>
        </is>
      </c>
      <c r="F14" s="17" t="n">
        <v>34000000</v>
      </c>
      <c r="G14" s="8">
        <f>IFERROR(INDEX(Sub_Markets!$B$5:$B$77,MATCH(D14,Sub_Markets!$A$5:$A$77,0)),C14)</f>
        <v/>
      </c>
      <c r="H14" s="6" t="inlineStr">
        <is>
          <t>GBP</t>
        </is>
      </c>
      <c r="I14" s="8">
        <f>IF(C14=G14,"Yes","No")</f>
        <v/>
      </c>
      <c r="J14" s="17" t="n">
        <v>44880000</v>
      </c>
      <c r="K14" s="6" t="inlineStr">
        <is>
          <t>Grant financing</t>
        </is>
      </c>
      <c r="L14" s="6" t="inlineStr">
        <is>
          <t>Restricted funds</t>
        </is>
      </c>
      <c r="M14" s="6" t="inlineStr">
        <is>
          <t>More funding for farmers as new blueprint for water announced - GOV.UK</t>
        </is>
      </c>
    </row>
    <row r="15">
      <c r="A15" s="6" t="inlineStr">
        <is>
          <t>M100</t>
        </is>
      </c>
      <c r="B15" s="6" t="inlineStr">
        <is>
          <t>PRT</t>
        </is>
      </c>
      <c r="C15" s="6" t="inlineStr">
        <is>
          <t>AFF03</t>
        </is>
      </c>
      <c r="D15" s="6" t="inlineStr">
        <is>
          <t>FO14</t>
        </is>
      </c>
      <c r="E15" s="6" t="inlineStr">
        <is>
          <t>National funding from EMFAF Programme to support sustainable to support sustainable fisheries</t>
        </is>
      </c>
      <c r="F15" s="17" t="n">
        <v>200842800</v>
      </c>
      <c r="G15" s="8">
        <f>IFERROR(INDEX(Sub_Markets!$B$5:$B$77,MATCH(D15,Sub_Markets!$A$5:$A$77,0)),C15)</f>
        <v/>
      </c>
      <c r="H15" s="6" t="inlineStr">
        <is>
          <t>EUR</t>
        </is>
      </c>
      <c r="I15" s="8">
        <f>IF(C15=G15,"Yes","No")</f>
        <v/>
      </c>
      <c r="J15" s="17" t="n">
        <v>230969220</v>
      </c>
      <c r="K15" s="6" t="inlineStr">
        <is>
          <t>Grant financing</t>
        </is>
      </c>
      <c r="L15" s="6" t="inlineStr">
        <is>
          <t>Restricted funds</t>
        </is>
      </c>
      <c r="M15" s="6" t="inlineStr">
        <is>
          <t>Irish EMFAF programme 2021-27 - EU Funds</t>
        </is>
      </c>
    </row>
    <row r="16">
      <c r="A16" s="6" t="inlineStr">
        <is>
          <t>M101</t>
        </is>
      </c>
      <c r="B16" s="6" t="inlineStr">
        <is>
          <t>PRT</t>
        </is>
      </c>
      <c r="C16" s="6" t="inlineStr">
        <is>
          <t>AFF03</t>
        </is>
      </c>
      <c r="D16" s="6" t="inlineStr">
        <is>
          <t>FO15</t>
        </is>
      </c>
      <c r="E16" s="6" t="inlineStr">
        <is>
          <t>National funding from EMFAF Programme to support sustainable to support sustainable aquaculture</t>
        </is>
      </c>
      <c r="F16" s="17" t="n">
        <v>193284200</v>
      </c>
      <c r="G16" s="8">
        <f>IFERROR(INDEX(Sub_Markets!$B$5:$B$77,MATCH(D16,Sub_Markets!$A$5:$A$77,0)),C16)</f>
        <v/>
      </c>
      <c r="H16" s="6" t="inlineStr">
        <is>
          <t>EUR</t>
        </is>
      </c>
      <c r="I16" s="8">
        <f>IF(C16=G16,"Yes","No")</f>
        <v/>
      </c>
      <c r="J16" s="17" t="n">
        <v>222276830</v>
      </c>
      <c r="K16" s="6" t="inlineStr">
        <is>
          <t>Grant financing</t>
        </is>
      </c>
      <c r="L16" s="6" t="inlineStr">
        <is>
          <t>Restricted funds</t>
        </is>
      </c>
      <c r="M16" s="6" t="inlineStr">
        <is>
          <t>Irish EMFAF programme 2021-27 - EU Funds</t>
        </is>
      </c>
    </row>
    <row r="17">
      <c r="A17" s="6" t="inlineStr">
        <is>
          <t>M102</t>
        </is>
      </c>
      <c r="B17" s="6" t="inlineStr">
        <is>
          <t>PRT</t>
        </is>
      </c>
      <c r="C17" s="6" t="inlineStr">
        <is>
          <t>AFF03</t>
        </is>
      </c>
      <c r="D17" s="6" t="inlineStr">
        <is>
          <t>FO19</t>
        </is>
      </c>
      <c r="E17" s="6" t="inlineStr">
        <is>
          <t>National funding from EMFAF Programme to support blue economy</t>
        </is>
      </c>
      <c r="F17" s="17" t="n">
        <v>46431400</v>
      </c>
      <c r="G17" s="8">
        <f>IFERROR(INDEX(Sub_Markets!$B$5:$B$77,MATCH(D17,Sub_Markets!$A$5:$A$77,0)),C17)</f>
        <v/>
      </c>
      <c r="H17" s="6" t="inlineStr">
        <is>
          <t>EUR</t>
        </is>
      </c>
      <c r="I17" s="8">
        <f>IF(C17=G17,"Yes","No")</f>
        <v/>
      </c>
      <c r="J17" s="17" t="n">
        <v>53396109.99999999</v>
      </c>
      <c r="K17" s="6" t="inlineStr">
        <is>
          <t>Grant financing</t>
        </is>
      </c>
      <c r="L17" s="6" t="inlineStr">
        <is>
          <t>Restricted funds</t>
        </is>
      </c>
      <c r="M17" s="6" t="inlineStr">
        <is>
          <t>Irish EMFAF programme 2021-27 - EU Funds</t>
        </is>
      </c>
    </row>
    <row r="18">
      <c r="A18" s="6" t="inlineStr">
        <is>
          <t>M103</t>
        </is>
      </c>
      <c r="B18" s="6" t="inlineStr">
        <is>
          <t>PRT</t>
        </is>
      </c>
      <c r="C18" s="6" t="inlineStr">
        <is>
          <t>AFF03</t>
        </is>
      </c>
      <c r="D18" s="6" t="inlineStr">
        <is>
          <t>FO19</t>
        </is>
      </c>
      <c r="E18" s="6" t="inlineStr">
        <is>
          <t>National funding from EMFAF Programme to support ocean governance</t>
        </is>
      </c>
      <c r="F18" s="17" t="n">
        <v>7018700</v>
      </c>
      <c r="G18" s="8">
        <f>IFERROR(INDEX(Sub_Markets!$B$5:$B$77,MATCH(D18,Sub_Markets!$A$5:$A$77,0)),C18)</f>
        <v/>
      </c>
      <c r="H18" s="6" t="inlineStr">
        <is>
          <t>EUR</t>
        </is>
      </c>
      <c r="I18" s="8">
        <f>IF(C18=G18,"Yes","No")</f>
        <v/>
      </c>
      <c r="J18" s="17" t="n">
        <v>8071504.999999999</v>
      </c>
      <c r="K18" s="6" t="inlineStr">
        <is>
          <t>Grant financing</t>
        </is>
      </c>
      <c r="L18" s="6" t="inlineStr">
        <is>
          <t>Restricted funds</t>
        </is>
      </c>
      <c r="M18" s="6" t="inlineStr">
        <is>
          <t>Irish EMFAF programme 2021-27 - EU Funds</t>
        </is>
      </c>
    </row>
    <row r="19">
      <c r="A19" s="6" t="inlineStr">
        <is>
          <t>M104</t>
        </is>
      </c>
      <c r="B19" s="6" t="inlineStr">
        <is>
          <t>PRT</t>
        </is>
      </c>
      <c r="C19" s="6" t="inlineStr">
        <is>
          <t>AFF03</t>
        </is>
      </c>
      <c r="D19" s="6" t="inlineStr">
        <is>
          <t>FO18</t>
        </is>
      </c>
      <c r="E19" s="6" t="inlineStr">
        <is>
          <t>National funding from EMFAF Programme to support outermost marine areas</t>
        </is>
      </c>
      <c r="F19" s="17" t="n">
        <v>66947600</v>
      </c>
      <c r="G19" s="8">
        <f>IFERROR(INDEX(Sub_Markets!$B$5:$B$77,MATCH(D19,Sub_Markets!$A$5:$A$77,0)),C19)</f>
        <v/>
      </c>
      <c r="H19" s="6" t="inlineStr">
        <is>
          <t>EUR</t>
        </is>
      </c>
      <c r="I19" s="8">
        <f>IF(C19=G19,"Yes","No")</f>
        <v/>
      </c>
      <c r="J19" s="17" t="n">
        <v>76989740</v>
      </c>
      <c r="K19" s="6" t="inlineStr">
        <is>
          <t>Grant financing</t>
        </is>
      </c>
      <c r="L19" s="6" t="inlineStr">
        <is>
          <t>Restricted funds</t>
        </is>
      </c>
      <c r="M19" s="6" t="inlineStr">
        <is>
          <t>Irish EMFAF programme 2021-27 - EU Funds</t>
        </is>
      </c>
    </row>
    <row r="20">
      <c r="A20" s="6" t="inlineStr">
        <is>
          <t>M105</t>
        </is>
      </c>
      <c r="B20" s="6" t="inlineStr">
        <is>
          <t>ITA</t>
        </is>
      </c>
      <c r="C20" s="6" t="inlineStr">
        <is>
          <t>AFF02</t>
        </is>
      </c>
      <c r="D20" s="6" t="inlineStr">
        <is>
          <t>FO07</t>
        </is>
      </c>
      <c r="E20" s="6" t="inlineStr">
        <is>
          <t>Help more than 700 000 farmers coping with a growing number of climatic adversities and natural disasters by supporting their participation in risk management tools</t>
        </is>
      </c>
      <c r="F20" s="17" t="n">
        <v>3000000000</v>
      </c>
      <c r="G20" s="8">
        <f>IFERROR(INDEX(Sub_Markets!$B$5:$B$77,MATCH(D20,Sub_Markets!$A$5:$A$77,0)),C20)</f>
        <v/>
      </c>
      <c r="H20" s="6" t="inlineStr">
        <is>
          <t>EUR</t>
        </is>
      </c>
      <c r="I20" s="8">
        <f>IF(C20=G20,"Yes","No")</f>
        <v/>
      </c>
      <c r="J20" s="17" t="n">
        <v>3450000000</v>
      </c>
      <c r="K20" s="6" t="inlineStr">
        <is>
          <t>Grant financing</t>
        </is>
      </c>
      <c r="L20" s="6" t="inlineStr">
        <is>
          <t>Restricted funds</t>
        </is>
      </c>
      <c r="M20" s="6" t="inlineStr">
        <is>
          <t>CAP Funding programme</t>
        </is>
      </c>
    </row>
    <row r="21">
      <c r="A21" s="6" t="inlineStr">
        <is>
          <t>M106</t>
        </is>
      </c>
      <c r="B21" s="6" t="inlineStr">
        <is>
          <t>ITA</t>
        </is>
      </c>
      <c r="C21" s="6" t="inlineStr">
        <is>
          <t>AFF02</t>
        </is>
      </c>
      <c r="D21" s="6" t="inlineStr">
        <is>
          <t>FO10</t>
        </is>
      </c>
      <c r="E21" s="6" t="inlineStr">
        <is>
          <t>CAP payments for agriculture related to organic agriculture</t>
        </is>
      </c>
      <c r="F21" s="17" t="n">
        <v>2000000000</v>
      </c>
      <c r="G21" s="8">
        <f>IFERROR(INDEX(Sub_Markets!$B$5:$B$77,MATCH(D21,Sub_Markets!$A$5:$A$77,0)),C21)</f>
        <v/>
      </c>
      <c r="H21" s="6" t="inlineStr">
        <is>
          <t>EUR</t>
        </is>
      </c>
      <c r="I21" s="8">
        <f>IF(C21=G21,"Yes","No")</f>
        <v/>
      </c>
      <c r="J21" s="17" t="n">
        <v>2300000000</v>
      </c>
      <c r="K21" s="6" t="inlineStr">
        <is>
          <t>Grant financing</t>
        </is>
      </c>
      <c r="L21" s="6" t="inlineStr">
        <is>
          <t>Restricted funds</t>
        </is>
      </c>
      <c r="M21" s="6" t="inlineStr">
        <is>
          <t>CAP Funding programme</t>
        </is>
      </c>
    </row>
    <row r="22">
      <c r="A22" s="6" t="inlineStr">
        <is>
          <t>M107</t>
        </is>
      </c>
      <c r="B22" s="6" t="inlineStr">
        <is>
          <t>ITA</t>
        </is>
      </c>
      <c r="C22" s="6" t="inlineStr">
        <is>
          <t>AFF03</t>
        </is>
      </c>
      <c r="D22" s="6" t="inlineStr">
        <is>
          <t>FO14</t>
        </is>
      </c>
      <c r="E22" s="6" t="inlineStr">
        <is>
          <t>National funding from EMFAF Programme to support sustainable to support sustainable fisheries</t>
        </is>
      </c>
      <c r="F22" s="17" t="n">
        <v>491625600</v>
      </c>
      <c r="G22" s="8">
        <f>IFERROR(INDEX(Sub_Markets!$B$5:$B$77,MATCH(D22,Sub_Markets!$A$5:$A$77,0)),C22)</f>
        <v/>
      </c>
      <c r="H22" s="6" t="inlineStr">
        <is>
          <t>EUR</t>
        </is>
      </c>
      <c r="I22" s="8">
        <f>IF(C22=G22,"Yes","No")</f>
        <v/>
      </c>
      <c r="J22" s="17" t="n">
        <v>565369440</v>
      </c>
      <c r="K22" s="6" t="inlineStr">
        <is>
          <t>Grant financing</t>
        </is>
      </c>
      <c r="L22" s="6" t="inlineStr">
        <is>
          <t>Restricted funds</t>
        </is>
      </c>
      <c r="M22" s="6" t="inlineStr">
        <is>
          <t>Irish EMFAF programme 2021-27 - EU Funds</t>
        </is>
      </c>
    </row>
    <row r="23">
      <c r="A23" s="6" t="inlineStr">
        <is>
          <t>M108</t>
        </is>
      </c>
      <c r="B23" s="6" t="inlineStr">
        <is>
          <t>ITA</t>
        </is>
      </c>
      <c r="C23" s="6" t="inlineStr">
        <is>
          <t>AFF03</t>
        </is>
      </c>
      <c r="D23" s="6" t="inlineStr">
        <is>
          <t>FO15</t>
        </is>
      </c>
      <c r="E23" s="6" t="inlineStr">
        <is>
          <t>National funding from EMFAF Programme to support sustainable to support sustainable aquaculture</t>
        </is>
      </c>
      <c r="F23" s="17" t="n">
        <v>323801600</v>
      </c>
      <c r="G23" s="8">
        <f>IFERROR(INDEX(Sub_Markets!$B$5:$B$77,MATCH(D23,Sub_Markets!$A$5:$A$77,0)),C23)</f>
        <v/>
      </c>
      <c r="H23" s="6" t="inlineStr">
        <is>
          <t>EUR</t>
        </is>
      </c>
      <c r="I23" s="8">
        <f>IF(C23=G23,"Yes","No")</f>
        <v/>
      </c>
      <c r="J23" s="17" t="n">
        <v>372371840</v>
      </c>
      <c r="K23" s="6" t="inlineStr">
        <is>
          <t>Grant financing</t>
        </is>
      </c>
      <c r="L23" s="6" t="inlineStr">
        <is>
          <t>Restricted funds</t>
        </is>
      </c>
      <c r="M23" s="6" t="inlineStr">
        <is>
          <t>Irish EMFAF programme 2021-27 - EU Funds</t>
        </is>
      </c>
    </row>
    <row r="24">
      <c r="A24" s="6" t="inlineStr">
        <is>
          <t>M109</t>
        </is>
      </c>
      <c r="B24" s="6" t="inlineStr">
        <is>
          <t>ITA</t>
        </is>
      </c>
      <c r="C24" s="6" t="inlineStr">
        <is>
          <t>AFF03</t>
        </is>
      </c>
      <c r="D24" s="6" t="inlineStr">
        <is>
          <t>FO19</t>
        </is>
      </c>
      <c r="E24" s="6" t="inlineStr">
        <is>
          <t>National funding from EMFAF Programme to support blue economy</t>
        </is>
      </c>
      <c r="F24" s="17" t="n">
        <v>98720000</v>
      </c>
      <c r="G24" s="8">
        <f>IFERROR(INDEX(Sub_Markets!$B$5:$B$77,MATCH(D24,Sub_Markets!$A$5:$A$77,0)),C24)</f>
        <v/>
      </c>
      <c r="H24" s="6" t="inlineStr">
        <is>
          <t>EUR</t>
        </is>
      </c>
      <c r="I24" s="8">
        <f>IF(C24=G24,"Yes","No")</f>
        <v/>
      </c>
      <c r="J24" s="17" t="n">
        <v>113528000</v>
      </c>
      <c r="K24" s="6" t="inlineStr">
        <is>
          <t>Grant financing</t>
        </is>
      </c>
      <c r="L24" s="6" t="inlineStr">
        <is>
          <t>Restricted funds</t>
        </is>
      </c>
      <c r="M24" s="6" t="inlineStr">
        <is>
          <t>Irish EMFAF programme 2021-27 - EU Funds</t>
        </is>
      </c>
    </row>
    <row r="25">
      <c r="A25" s="6" t="inlineStr">
        <is>
          <t>M11</t>
        </is>
      </c>
      <c r="B25" s="6" t="inlineStr">
        <is>
          <t>GBR</t>
        </is>
      </c>
      <c r="C25" s="6" t="inlineStr">
        <is>
          <t>W03</t>
        </is>
      </c>
      <c r="D25" s="6" t="inlineStr">
        <is>
          <t>WU15</t>
        </is>
      </c>
      <c r="E25" s="6" t="inlineStr">
        <is>
          <t>Additional investment in new large-scale water infrastructure</t>
        </is>
      </c>
      <c r="F25" s="17" t="n">
        <v>500000000</v>
      </c>
      <c r="G25" s="8">
        <f>IFERROR(INDEX(Sub_Markets!$B$5:$B$77,MATCH(D25,Sub_Markets!$A$5:$A$77,0)),C25)</f>
        <v/>
      </c>
      <c r="H25" s="6" t="inlineStr">
        <is>
          <t>GBP</t>
        </is>
      </c>
      <c r="I25" s="8">
        <f>IF(C25=G25,"Yes","No")</f>
        <v/>
      </c>
      <c r="J25" s="17" t="n">
        <v>660000000</v>
      </c>
      <c r="K25" s="6" t="inlineStr">
        <is>
          <t>Debt financing</t>
        </is>
      </c>
      <c r="L25" s="6" t="inlineStr">
        <is>
          <t>Term debt</t>
        </is>
      </c>
      <c r="M25" s="6" t="inlineStr">
        <is>
          <t>Plan for Water: our integrated plan for delivering clean and plentiful water - GOV.UK</t>
        </is>
      </c>
    </row>
    <row r="26">
      <c r="A26" s="6" t="inlineStr">
        <is>
          <t>M110</t>
        </is>
      </c>
      <c r="B26" s="6" t="inlineStr">
        <is>
          <t>ITA</t>
        </is>
      </c>
      <c r="C26" s="6" t="inlineStr">
        <is>
          <t>AFF03</t>
        </is>
      </c>
      <c r="D26" s="6" t="inlineStr">
        <is>
          <t>FO19</t>
        </is>
      </c>
      <c r="E26" s="6" t="inlineStr">
        <is>
          <t>National funding from EMFAF Programme to support ocean governance</t>
        </is>
      </c>
      <c r="F26" s="17" t="n">
        <v>13820800</v>
      </c>
      <c r="G26" s="8">
        <f>IFERROR(INDEX(Sub_Markets!$B$5:$B$77,MATCH(D26,Sub_Markets!$A$5:$A$77,0)),C26)</f>
        <v/>
      </c>
      <c r="H26" s="6" t="inlineStr">
        <is>
          <t>EUR</t>
        </is>
      </c>
      <c r="I26" s="8">
        <f>IF(C26=G26,"Yes","No")</f>
        <v/>
      </c>
      <c r="J26" s="17" t="n">
        <v>15893920</v>
      </c>
      <c r="K26" s="6" t="inlineStr">
        <is>
          <t>Grant financing</t>
        </is>
      </c>
      <c r="L26" s="6" t="inlineStr">
        <is>
          <t>Restricted funds</t>
        </is>
      </c>
      <c r="M26" s="6" t="inlineStr">
        <is>
          <t>Irish EMFAF programme 2021-27 - EU Funds</t>
        </is>
      </c>
    </row>
    <row r="27">
      <c r="A27" s="6" t="inlineStr">
        <is>
          <t>M111</t>
        </is>
      </c>
      <c r="B27" s="6" t="inlineStr">
        <is>
          <t>ITA</t>
        </is>
      </c>
      <c r="C27" s="6" t="inlineStr">
        <is>
          <t>AFF02</t>
        </is>
      </c>
      <c r="D27" s="6" t="inlineStr">
        <is>
          <t>FO08</t>
        </is>
      </c>
      <c r="E27" s="6" t="inlineStr">
        <is>
          <t>CAP payments for soil conservation and regeneration practices and ecosystem protection</t>
        </is>
      </c>
      <c r="F27" s="17" t="n">
        <v>10000000000</v>
      </c>
      <c r="G27" s="8">
        <f>IFERROR(INDEX(Sub_Markets!$B$5:$B$77,MATCH(D27,Sub_Markets!$A$5:$A$77,0)),C27)</f>
        <v/>
      </c>
      <c r="H27" s="6" t="inlineStr">
        <is>
          <t>EUR</t>
        </is>
      </c>
      <c r="I27" s="8">
        <f>IF(C27=G27,"Yes","No")</f>
        <v/>
      </c>
      <c r="J27" s="17" t="n">
        <v>11500000000</v>
      </c>
      <c r="K27" s="6" t="inlineStr">
        <is>
          <t>Grant financing</t>
        </is>
      </c>
      <c r="L27" s="6" t="inlineStr">
        <is>
          <t>Restricted funds</t>
        </is>
      </c>
      <c r="M27" s="6" t="inlineStr">
        <is>
          <t>CAP Funding programme</t>
        </is>
      </c>
    </row>
    <row r="28">
      <c r="A28" s="6" t="inlineStr">
        <is>
          <t>M112</t>
        </is>
      </c>
      <c r="B28" s="6" t="inlineStr">
        <is>
          <t>ITA</t>
        </is>
      </c>
      <c r="C28" s="6" t="inlineStr">
        <is>
          <t>AFF02</t>
        </is>
      </c>
      <c r="D28" s="6" t="inlineStr">
        <is>
          <t>FO07</t>
        </is>
      </c>
      <c r="E28" s="6" t="inlineStr">
        <is>
          <t>Integrated farming solutions to improve sustainable soil water and air inf arming</t>
        </is>
      </c>
      <c r="F28" s="17" t="n">
        <v>647000000</v>
      </c>
      <c r="G28" s="8">
        <f>IFERROR(INDEX(Sub_Markets!$B$5:$B$77,MATCH(D28,Sub_Markets!$A$5:$A$77,0)),C28)</f>
        <v/>
      </c>
      <c r="H28" s="6" t="inlineStr">
        <is>
          <t>EUR</t>
        </is>
      </c>
      <c r="I28" s="8">
        <f>IF(C28=G28,"Yes","No")</f>
        <v/>
      </c>
      <c r="J28" s="17" t="n">
        <v>744050000</v>
      </c>
      <c r="K28" s="6" t="inlineStr">
        <is>
          <t>Grant financing</t>
        </is>
      </c>
      <c r="L28" s="6" t="inlineStr">
        <is>
          <t>Restricted funds</t>
        </is>
      </c>
      <c r="M28" s="6" t="inlineStr">
        <is>
          <t>CAP Funding programme</t>
        </is>
      </c>
    </row>
    <row r="29">
      <c r="A29" s="6" t="inlineStr">
        <is>
          <t>M113</t>
        </is>
      </c>
      <c r="B29" s="6" t="inlineStr">
        <is>
          <t>QAT</t>
        </is>
      </c>
      <c r="C29" s="6" t="inlineStr">
        <is>
          <t>AFF02</t>
        </is>
      </c>
      <c r="D29" s="6" t="inlineStr">
        <is>
          <t>FO11</t>
        </is>
      </c>
      <c r="E29" s="6" t="inlineStr">
        <is>
          <t>Qatar greenhouse market used for food security and water efficiency</t>
        </is>
      </c>
      <c r="F29" s="17" t="n">
        <v>137000000</v>
      </c>
      <c r="G29" s="8">
        <f>IFERROR(INDEX(Sub_Markets!$B$5:$B$77,MATCH(D29,Sub_Markets!$A$5:$A$77,0)),C29)</f>
        <v/>
      </c>
      <c r="H29" s="6" t="inlineStr">
        <is>
          <t>USD</t>
        </is>
      </c>
      <c r="I29" s="8">
        <f>IF(C29=G29,"Yes","No")</f>
        <v/>
      </c>
      <c r="J29" s="17" t="n">
        <v>137000000</v>
      </c>
      <c r="K29" s="6" t="inlineStr">
        <is>
          <t>Equity financing</t>
        </is>
      </c>
      <c r="L29" s="6" t="inlineStr">
        <is>
          <t>Private Equity</t>
        </is>
      </c>
      <c r="M29" s="6" t="inlineStr">
        <is>
          <t>Qatar Greenhouse Market Size, Trends &amp; Forecast 2026-2032</t>
        </is>
      </c>
    </row>
    <row r="30">
      <c r="A30" s="6" t="inlineStr">
        <is>
          <t>M114</t>
        </is>
      </c>
      <c r="B30" s="6" t="inlineStr">
        <is>
          <t>ARE</t>
        </is>
      </c>
      <c r="C30" s="6" t="inlineStr">
        <is>
          <t>AFF02</t>
        </is>
      </c>
      <c r="D30" s="6" t="inlineStr">
        <is>
          <t>FO11</t>
        </is>
      </c>
      <c r="E30" s="6" t="inlineStr">
        <is>
          <t>EDB investment in vertical farming for land use</t>
        </is>
      </c>
      <c r="F30" s="17" t="n">
        <v>257300000</v>
      </c>
      <c r="G30" s="8">
        <f>IFERROR(INDEX(Sub_Markets!$B$5:$B$77,MATCH(D30,Sub_Markets!$A$5:$A$77,0)),C30)</f>
        <v/>
      </c>
      <c r="H30" s="6" t="inlineStr">
        <is>
          <t>USD</t>
        </is>
      </c>
      <c r="I30" s="8">
        <f>IF(C30=G30,"Yes","No")</f>
        <v/>
      </c>
      <c r="J30" s="17" t="n">
        <v>257300000</v>
      </c>
      <c r="K30" s="6" t="inlineStr">
        <is>
          <t>Equity financing</t>
        </is>
      </c>
      <c r="L30" s="6" t="inlineStr">
        <is>
          <t>Private Equity</t>
        </is>
      </c>
      <c r="M30" s="6" t="inlineStr">
        <is>
          <t>UAE Agricultural Policy 2025</t>
        </is>
      </c>
    </row>
    <row r="31">
      <c r="A31" s="6" t="inlineStr">
        <is>
          <t>M115</t>
        </is>
      </c>
      <c r="B31" s="6" t="inlineStr">
        <is>
          <t>SAU</t>
        </is>
      </c>
      <c r="C31" s="6" t="inlineStr">
        <is>
          <t>AFF01</t>
        </is>
      </c>
      <c r="D31" s="6" t="inlineStr">
        <is>
          <t>FO02</t>
        </is>
      </c>
      <c r="E31" s="6" t="inlineStr">
        <is>
          <t>Saudi Green Initiative committed to afforestation</t>
        </is>
      </c>
      <c r="F31" s="17" t="n">
        <v>186000000</v>
      </c>
      <c r="G31" s="8">
        <f>IFERROR(INDEX(Sub_Markets!$B$5:$B$77,MATCH(D31,Sub_Markets!$A$5:$A$77,0)),C31)</f>
        <v/>
      </c>
      <c r="H31" s="6" t="inlineStr">
        <is>
          <t>USD</t>
        </is>
      </c>
      <c r="I31" s="8">
        <f>IF(C31=G31,"Yes","No")</f>
        <v/>
      </c>
      <c r="J31" s="17" t="n">
        <v>186000000</v>
      </c>
      <c r="K31" s="6" t="inlineStr">
        <is>
          <t>Equity financing</t>
        </is>
      </c>
      <c r="L31" s="6" t="inlineStr">
        <is>
          <t>Private Equity</t>
        </is>
      </c>
      <c r="M31" s="6" t="inlineStr">
        <is>
          <t>Saudi Green Initiative - Saudipedia</t>
        </is>
      </c>
    </row>
    <row r="32">
      <c r="A32" s="6" t="inlineStr">
        <is>
          <t>M116</t>
        </is>
      </c>
      <c r="B32" s="6" t="inlineStr">
        <is>
          <t>SAU</t>
        </is>
      </c>
      <c r="C32" s="6" t="inlineStr">
        <is>
          <t>AFF02</t>
        </is>
      </c>
      <c r="D32" s="6" t="inlineStr">
        <is>
          <t>FO11</t>
        </is>
      </c>
      <c r="E32" s="6" t="inlineStr">
        <is>
          <t>Investment in agriculture and food projects (private investment)</t>
        </is>
      </c>
      <c r="F32" s="17" t="n">
        <v>9800000000</v>
      </c>
      <c r="G32" s="8">
        <f>IFERROR(INDEX(Sub_Markets!$B$5:$B$77,MATCH(D32,Sub_Markets!$A$5:$A$77,0)),C32)</f>
        <v/>
      </c>
      <c r="H32" s="6" t="inlineStr">
        <is>
          <t>USD</t>
        </is>
      </c>
      <c r="I32" s="8">
        <f>IF(C32=G32,"Yes","No")</f>
        <v/>
      </c>
      <c r="J32" s="17" t="n">
        <v>9800000000</v>
      </c>
      <c r="K32" s="6" t="inlineStr">
        <is>
          <t>Equity financing</t>
        </is>
      </c>
      <c r="L32" s="6" t="inlineStr">
        <is>
          <t>Private Equity</t>
        </is>
      </c>
      <c r="M32" s="6" t="inlineStr">
        <is>
          <t>Saudi Arabia Secures SAR37 Billion in Private Investment for Sustainable Agriculture</t>
        </is>
      </c>
    </row>
    <row r="33">
      <c r="A33" s="6" t="inlineStr">
        <is>
          <t>M117</t>
        </is>
      </c>
      <c r="B33" s="6" t="inlineStr">
        <is>
          <t>SAU</t>
        </is>
      </c>
      <c r="C33" s="6" t="inlineStr">
        <is>
          <t>AFF03</t>
        </is>
      </c>
      <c r="D33" s="6" t="inlineStr">
        <is>
          <t>FO14</t>
        </is>
      </c>
      <c r="E33" s="6" t="inlineStr">
        <is>
          <t>Investment in local and foreign investment into fisheries and aquaculture</t>
        </is>
      </c>
      <c r="F33" s="17" t="n">
        <v>4000000000</v>
      </c>
      <c r="G33" s="8">
        <f>IFERROR(INDEX(Sub_Markets!$B$5:$B$77,MATCH(D33,Sub_Markets!$A$5:$A$77,0)),C33)</f>
        <v/>
      </c>
      <c r="H33" s="6" t="inlineStr">
        <is>
          <t>USD</t>
        </is>
      </c>
      <c r="I33" s="8">
        <f>IF(C33=G33,"Yes","No")</f>
        <v/>
      </c>
      <c r="J33" s="17" t="n">
        <v>4000000000</v>
      </c>
      <c r="K33" s="6" t="inlineStr">
        <is>
          <t>Equity financing</t>
        </is>
      </c>
      <c r="L33" s="6" t="inlineStr">
        <is>
          <t>Private Equity</t>
        </is>
      </c>
      <c r="M33" s="6" t="inlineStr">
        <is>
          <t>Saudi Vision 2030: Kingdom invests in aquaculture &amp; fisheries to meet domestic demands - Global Business Outlook</t>
        </is>
      </c>
    </row>
    <row r="34">
      <c r="A34" s="6" t="inlineStr">
        <is>
          <t>M118</t>
        </is>
      </c>
      <c r="B34" s="6" t="inlineStr">
        <is>
          <t>GBR</t>
        </is>
      </c>
      <c r="C34" s="6" t="inlineStr">
        <is>
          <t>UD03</t>
        </is>
      </c>
      <c r="D34" s="6" t="inlineStr">
        <is>
          <t>I12</t>
        </is>
      </c>
      <c r="E34" s="6" t="inlineStr">
        <is>
          <t>Provide direct funding to Protected Landscapes organisations by April 2026 to support local action on nationally important priorities, including nature restoration and access for all</t>
        </is>
      </c>
      <c r="F34" s="17" t="n">
        <v>110000000</v>
      </c>
      <c r="G34" s="8">
        <f>IFERROR(INDEX(Sub_Markets!$B$5:$B$77,MATCH(D34,Sub_Markets!$A$5:$A$77,0)),C34)</f>
        <v/>
      </c>
      <c r="H34" s="6" t="inlineStr">
        <is>
          <t>GBP</t>
        </is>
      </c>
      <c r="I34" s="8">
        <f>IF(C34=G34,"Yes","No")</f>
        <v/>
      </c>
      <c r="J34" s="17" t="n">
        <v>145200000</v>
      </c>
      <c r="K34" s="6" t="inlineStr">
        <is>
          <t>Grant financing</t>
        </is>
      </c>
      <c r="L34" s="6" t="inlineStr">
        <is>
          <t>Restricted funds</t>
        </is>
      </c>
      <c r="M34" s="6" t="inlineStr">
        <is>
          <t>NBSAP</t>
        </is>
      </c>
    </row>
    <row r="35">
      <c r="A35" s="6" t="inlineStr">
        <is>
          <t>M119</t>
        </is>
      </c>
      <c r="B35" s="6" t="inlineStr">
        <is>
          <t>GBR</t>
        </is>
      </c>
      <c r="C35" s="6" t="inlineStr">
        <is>
          <t>UD03</t>
        </is>
      </c>
      <c r="D35" s="6" t="inlineStr">
        <is>
          <t>I11</t>
        </is>
      </c>
      <c r="E35" s="6" t="inlineStr">
        <is>
          <t>Continue to support councils with an investment to build and maintain walking and cycling infrastructure.</t>
        </is>
      </c>
      <c r="F35" s="17" t="n">
        <v>616000000</v>
      </c>
      <c r="G35" s="8">
        <f>IFERROR(INDEX(Sub_Markets!$B$5:$B$77,MATCH(D35,Sub_Markets!$A$5:$A$77,0)),C35)</f>
        <v/>
      </c>
      <c r="H35" s="6" t="inlineStr">
        <is>
          <t>GBP</t>
        </is>
      </c>
      <c r="I35" s="8">
        <f>IF(C35=G35,"Yes","No")</f>
        <v/>
      </c>
      <c r="J35" s="17" t="n">
        <v>813120000</v>
      </c>
      <c r="K35" s="6" t="inlineStr">
        <is>
          <t>Grant financing</t>
        </is>
      </c>
      <c r="L35" s="6" t="inlineStr">
        <is>
          <t>Restricted funds</t>
        </is>
      </c>
      <c r="M35" s="6" t="inlineStr">
        <is>
          <t>NBSAP</t>
        </is>
      </c>
    </row>
    <row r="36">
      <c r="A36" s="6" t="inlineStr">
        <is>
          <t>M12</t>
        </is>
      </c>
      <c r="B36" s="6" t="inlineStr">
        <is>
          <t>GBR</t>
        </is>
      </c>
      <c r="C36" s="6" t="inlineStr">
        <is>
          <t>W03</t>
        </is>
      </c>
      <c r="D36" s="6" t="inlineStr">
        <is>
          <t>WU15</t>
        </is>
      </c>
      <c r="E36" s="6" t="inlineStr">
        <is>
          <t>New water company infrastructure Delivery to start in the next 2 years – reducing the number of spills from storm overflows, nutrient pollution, and increasing water supply</t>
        </is>
      </c>
      <c r="F36" s="17" t="n">
        <v>1600000000</v>
      </c>
      <c r="G36" s="8">
        <f>IFERROR(INDEX(Sub_Markets!$B$5:$B$77,MATCH(D36,Sub_Markets!$A$5:$A$77,0)),C36)</f>
        <v/>
      </c>
      <c r="H36" s="6" t="inlineStr">
        <is>
          <t>GBP</t>
        </is>
      </c>
      <c r="I36" s="8">
        <f>IF(C36=G36,"Yes","No")</f>
        <v/>
      </c>
      <c r="J36" s="17" t="n">
        <v>2112000000</v>
      </c>
      <c r="K36" s="6" t="inlineStr">
        <is>
          <t>Debt financing</t>
        </is>
      </c>
      <c r="L36" s="6" t="inlineStr">
        <is>
          <t>Term debt</t>
        </is>
      </c>
      <c r="M36" s="6" t="inlineStr">
        <is>
          <t>Plan for Water: our integrated plan for delivering clean and plentiful water - GOV.UK</t>
        </is>
      </c>
    </row>
    <row r="37">
      <c r="A37" s="6" t="inlineStr">
        <is>
          <t>M120</t>
        </is>
      </c>
      <c r="B37" s="6" t="inlineStr">
        <is>
          <t>GBR</t>
        </is>
      </c>
      <c r="C37" s="6" t="inlineStr">
        <is>
          <t>UD03</t>
        </is>
      </c>
      <c r="D37" s="6" t="inlineStr">
        <is>
          <t>I10</t>
        </is>
      </c>
      <c r="E37" s="6" t="inlineStr">
        <is>
          <t>We will invest to construct new flood schemes and maintain and repair existing flood defences across the country.</t>
        </is>
      </c>
      <c r="F37" s="17" t="n">
        <v>4200000000</v>
      </c>
      <c r="G37" s="8">
        <f>IFERROR(INDEX(Sub_Markets!$B$5:$B$77,MATCH(D37,Sub_Markets!$A$5:$A$77,0)),C37)</f>
        <v/>
      </c>
      <c r="H37" s="6" t="inlineStr">
        <is>
          <t>GBP</t>
        </is>
      </c>
      <c r="I37" s="8">
        <f>IF(C37=G37,"Yes","No")</f>
        <v/>
      </c>
      <c r="J37" s="17" t="n">
        <v>5544000000</v>
      </c>
      <c r="K37" s="6" t="inlineStr">
        <is>
          <t>Equity and debt finance</t>
        </is>
      </c>
      <c r="L37" s="6" t="inlineStr">
        <is>
          <t>Term debt</t>
        </is>
      </c>
      <c r="M37" s="6" t="inlineStr">
        <is>
          <t>NBSAP</t>
        </is>
      </c>
    </row>
    <row r="38">
      <c r="A38" s="6" t="inlineStr">
        <is>
          <t>M121</t>
        </is>
      </c>
      <c r="B38" s="6" t="inlineStr">
        <is>
          <t>GBR</t>
        </is>
      </c>
      <c r="C38" s="6" t="inlineStr">
        <is>
          <t>UD03</t>
        </is>
      </c>
      <c r="D38" s="6" t="inlineStr">
        <is>
          <t>I10</t>
        </is>
      </c>
      <c r="E38" s="6" t="inlineStr">
        <is>
          <t>Government investment over 10 years from 2026 into the flood and coastal erosion prevention</t>
        </is>
      </c>
      <c r="F38" s="17" t="n">
        <v>10500000000</v>
      </c>
      <c r="G38" s="8">
        <f>IFERROR(INDEX(Sub_Markets!$B$5:$B$77,MATCH(D38,Sub_Markets!$A$5:$A$77,0)),C38)</f>
        <v/>
      </c>
      <c r="H38" s="6" t="inlineStr">
        <is>
          <t>GBP</t>
        </is>
      </c>
      <c r="I38" s="8">
        <f>IF(C38=G38,"Yes","No")</f>
        <v/>
      </c>
      <c r="J38" s="17" t="n">
        <v>13860000000</v>
      </c>
      <c r="K38" s="6" t="inlineStr">
        <is>
          <t>Equity and debt finance</t>
        </is>
      </c>
      <c r="L38" s="6" t="inlineStr">
        <is>
          <t>Term debt</t>
        </is>
      </c>
      <c r="M38" s="6" t="inlineStr">
        <is>
          <t>NBSAP</t>
        </is>
      </c>
    </row>
    <row r="39">
      <c r="A39" s="6" t="inlineStr">
        <is>
          <t>M122</t>
        </is>
      </c>
      <c r="B39" s="6" t="inlineStr">
        <is>
          <t>GBR</t>
        </is>
      </c>
      <c r="C39" s="6" t="inlineStr">
        <is>
          <t>UD03</t>
        </is>
      </c>
      <c r="D39" s="6" t="inlineStr">
        <is>
          <t>I11</t>
        </is>
      </c>
      <c r="E39" s="6" t="inlineStr">
        <is>
          <t>Create better facilities and infrastructure in the Public Forest Estate to increase the numbers of visitors and improve their experience.</t>
        </is>
      </c>
      <c r="F39" s="17" t="n">
        <v>3000000</v>
      </c>
      <c r="G39" s="8">
        <f>IFERROR(INDEX(Sub_Markets!$B$5:$B$77,MATCH(D39,Sub_Markets!$A$5:$A$77,0)),C39)</f>
        <v/>
      </c>
      <c r="H39" s="6" t="inlineStr">
        <is>
          <t>GBP</t>
        </is>
      </c>
      <c r="I39" s="8">
        <f>IF(C39=G39,"Yes","No")</f>
        <v/>
      </c>
      <c r="J39" s="17" t="n">
        <v>3960000</v>
      </c>
      <c r="K39" s="6" t="inlineStr">
        <is>
          <t>Grant financing</t>
        </is>
      </c>
      <c r="L39" s="6" t="inlineStr">
        <is>
          <t>Restricted funds</t>
        </is>
      </c>
      <c r="M39" s="6" t="inlineStr">
        <is>
          <t>NBSAP</t>
        </is>
      </c>
    </row>
    <row r="40">
      <c r="A40" s="6" t="inlineStr">
        <is>
          <t>M123</t>
        </is>
      </c>
      <c r="B40" s="6" t="inlineStr">
        <is>
          <t>GBR</t>
        </is>
      </c>
      <c r="C40" s="6" t="inlineStr">
        <is>
          <t>UD02</t>
        </is>
      </c>
      <c r="D40" s="6" t="inlineStr">
        <is>
          <t>I2</t>
        </is>
      </c>
      <c r="E40" s="6" t="inlineStr">
        <is>
          <t>London green roots fund - £12m programme (grants of £10-500k) to support parks, urban waterways, SuDS, rain gardens, green roofs, nature-based solutions linked to active travel</t>
        </is>
      </c>
      <c r="F40" s="17" t="n">
        <v>12000000</v>
      </c>
      <c r="G40" s="8">
        <f>IFERROR(INDEX(Sub_Markets!$B$5:$B$77,MATCH(D40,Sub_Markets!$A$5:$A$77,0)),C40)</f>
        <v/>
      </c>
      <c r="H40" s="6" t="inlineStr">
        <is>
          <t>GBP</t>
        </is>
      </c>
      <c r="I40" s="8">
        <f>IF(C40=G40,"Yes","No")</f>
        <v/>
      </c>
      <c r="J40" s="17" t="n">
        <v>15840000</v>
      </c>
      <c r="K40" s="6" t="inlineStr">
        <is>
          <t>Grant financing</t>
        </is>
      </c>
      <c r="L40" s="6" t="inlineStr">
        <is>
          <t>Restricted funds</t>
        </is>
      </c>
      <c r="M40" s="6" t="inlineStr">
        <is>
          <t>Green Roots Fund | London City Hall</t>
        </is>
      </c>
    </row>
    <row r="41">
      <c r="A41" s="6" t="inlineStr">
        <is>
          <t>M124</t>
        </is>
      </c>
      <c r="B41" s="6" t="inlineStr">
        <is>
          <t>CAN</t>
        </is>
      </c>
      <c r="C41" s="6" t="inlineStr">
        <is>
          <t>UD03</t>
        </is>
      </c>
      <c r="D41" s="6" t="inlineStr">
        <is>
          <t>I12</t>
        </is>
      </c>
      <c r="E41" s="6" t="inlineStr">
        <is>
          <t>Since 2007, the Government of Canada has invested funds from partners that protected 8,648 km² of ecologically sensitive lands, an area almost twice the size of Prince Edward Island. These grasslands, forests, lakes, and wetlands act as habitat for more than 250 species listed under the Species at Risk Act.</t>
        </is>
      </c>
      <c r="F41" s="17" t="n">
        <v>1655000000</v>
      </c>
      <c r="G41" s="8">
        <f>IFERROR(INDEX(Sub_Markets!$B$5:$B$77,MATCH(D41,Sub_Markets!$A$5:$A$77,0)),C41)</f>
        <v/>
      </c>
      <c r="H41" s="6" t="inlineStr">
        <is>
          <t>CAD</t>
        </is>
      </c>
      <c r="I41" s="8">
        <f>IF(C41=G41,"Yes","No")</f>
        <v/>
      </c>
      <c r="J41" s="17" t="n">
        <v>1191600000</v>
      </c>
      <c r="K41" s="6" t="inlineStr">
        <is>
          <t>Grant financing</t>
        </is>
      </c>
      <c r="L41" s="6" t="inlineStr">
        <is>
          <t>Restricted funds</t>
        </is>
      </c>
      <c r="M41" s="6" t="inlineStr">
        <is>
          <t xml:space="preserve"> A Force of Nature: Canada’s Strategy to Protect Nature</t>
        </is>
      </c>
    </row>
    <row r="42">
      <c r="A42" s="6" t="inlineStr">
        <is>
          <t>M125</t>
        </is>
      </c>
      <c r="B42" s="6" t="inlineStr">
        <is>
          <t>CAN</t>
        </is>
      </c>
      <c r="C42" s="6" t="inlineStr">
        <is>
          <t>UD02</t>
        </is>
      </c>
      <c r="D42" s="6" t="inlineStr">
        <is>
          <t>I9</t>
        </is>
      </c>
      <c r="E42" s="6" t="inlineStr">
        <is>
          <t>Canada's infrastructure plan commits an investment amount to green infrastructure</t>
        </is>
      </c>
      <c r="F42" s="17" t="n">
        <v>26900000000</v>
      </c>
      <c r="G42" s="8">
        <f>IFERROR(INDEX(Sub_Markets!$B$5:$B$77,MATCH(D42,Sub_Markets!$A$5:$A$77,0)),C42)</f>
        <v/>
      </c>
      <c r="H42" s="6" t="inlineStr">
        <is>
          <t>CAD</t>
        </is>
      </c>
      <c r="I42" s="8">
        <f>IF(C42=G42,"Yes","No")</f>
        <v/>
      </c>
      <c r="J42" s="17" t="n">
        <v>19368000000</v>
      </c>
      <c r="K42" s="6" t="inlineStr">
        <is>
          <t>Debt financing</t>
        </is>
      </c>
      <c r="L42" s="6" t="inlineStr">
        <is>
          <t>Term debt</t>
        </is>
      </c>
      <c r="M42" s="6" t="inlineStr">
        <is>
          <t>Housing, Infrastructure and Communities Canada - Investing in Canada: Canada's Long-Term Infrastructure Plan</t>
        </is>
      </c>
    </row>
    <row r="43">
      <c r="A43" s="6" t="inlineStr">
        <is>
          <t>M126</t>
        </is>
      </c>
      <c r="B43" s="6" t="inlineStr">
        <is>
          <t>CAN</t>
        </is>
      </c>
      <c r="C43" s="6" t="inlineStr">
        <is>
          <t>DM02</t>
        </is>
      </c>
      <c r="D43" s="6" t="inlineStr">
        <is>
          <t>A15</t>
        </is>
      </c>
      <c r="E43" s="6" t="inlineStr">
        <is>
          <t>Ensuring that Canadians have access to free, up-to-date and high-quality flood hazard maps by investing and working with provinces and territories to increase Canada’s resilience to flooding by expanding the Flood Hazard Identification Mapping Program</t>
        </is>
      </c>
      <c r="F43" s="17" t="n">
        <v>164000000</v>
      </c>
      <c r="G43" s="8">
        <f>IFERROR(INDEX(Sub_Markets!$B$5:$B$77,MATCH(D43,Sub_Markets!$A$5:$A$77,0)),C43)</f>
        <v/>
      </c>
      <c r="H43" s="6" t="inlineStr">
        <is>
          <t>CAD</t>
        </is>
      </c>
      <c r="I43" s="8">
        <f>IF(C43=G43,"Yes","No")</f>
        <v/>
      </c>
      <c r="J43" s="17" t="n">
        <v>118080000</v>
      </c>
      <c r="K43" s="6" t="inlineStr">
        <is>
          <t>Grant financing</t>
        </is>
      </c>
      <c r="L43" s="6" t="inlineStr">
        <is>
          <t>Restricted funds</t>
        </is>
      </c>
      <c r="M43" s="6" t="inlineStr">
        <is>
          <t>Government of Canada Adaptation Action Plan - Canada.ca</t>
        </is>
      </c>
    </row>
    <row r="44">
      <c r="A44" s="6" t="inlineStr">
        <is>
          <t>M127</t>
        </is>
      </c>
      <c r="B44" s="6" t="inlineStr">
        <is>
          <t>CAN</t>
        </is>
      </c>
      <c r="C44" s="6" t="inlineStr">
        <is>
          <t>UD01</t>
        </is>
      </c>
      <c r="D44" s="6" t="inlineStr">
        <is>
          <t>I2</t>
        </is>
      </c>
      <c r="E44" s="6" t="inlineStr">
        <is>
          <t>Natural Infrastructure Fund supports projects that use natural or hybrid approaches to protect the natural environment, support healthy and resilient communities, and contribute to economic growth and jobs</t>
        </is>
      </c>
      <c r="F44" s="17" t="n">
        <v>200000000</v>
      </c>
      <c r="G44" s="8">
        <f>IFERROR(INDEX(Sub_Markets!$B$5:$B$77,MATCH(D44,Sub_Markets!$A$5:$A$77,0)),C44)</f>
        <v/>
      </c>
      <c r="H44" s="6" t="inlineStr">
        <is>
          <t>CAD</t>
        </is>
      </c>
      <c r="I44" s="8">
        <f>IF(C44=G44,"Yes","No")</f>
        <v/>
      </c>
      <c r="J44" s="17" t="n">
        <v>144000000</v>
      </c>
      <c r="K44" s="6" t="inlineStr">
        <is>
          <t>Grant financing</t>
        </is>
      </c>
      <c r="L44" s="6" t="inlineStr">
        <is>
          <t>Restricted funds</t>
        </is>
      </c>
      <c r="M44" s="6" t="inlineStr">
        <is>
          <t>Housing, Infrastructure and Communities Canada - Natural Infrastructure Fund</t>
        </is>
      </c>
    </row>
    <row r="45">
      <c r="A45" s="6" t="inlineStr">
        <is>
          <t>M128</t>
        </is>
      </c>
      <c r="B45" s="6" t="inlineStr">
        <is>
          <t>FRA</t>
        </is>
      </c>
      <c r="C45" s="6" t="inlineStr">
        <is>
          <t>UD03</t>
        </is>
      </c>
      <c r="D45" s="6" t="inlineStr">
        <is>
          <t>I11</t>
        </is>
      </c>
      <c r="E45" s="6" t="inlineStr">
        <is>
          <t>Investment planned on renaturing towns and villages as part of the Green Fund scheme, a driving force for projects promoting ecological transition.</t>
        </is>
      </c>
      <c r="F45" s="17" t="n">
        <v>142000000</v>
      </c>
      <c r="G45" s="8">
        <f>IFERROR(INDEX(Sub_Markets!$B$5:$B$77,MATCH(D45,Sub_Markets!$A$5:$A$77,0)),C45)</f>
        <v/>
      </c>
      <c r="H45" s="6" t="inlineStr">
        <is>
          <t>EUR</t>
        </is>
      </c>
      <c r="I45" s="8">
        <f>IF(C45=G45,"Yes","No")</f>
        <v/>
      </c>
      <c r="J45" s="17" t="n">
        <v>163300000</v>
      </c>
      <c r="K45" s="6" t="inlineStr">
        <is>
          <t>Grant financing</t>
        </is>
      </c>
      <c r="L45" s="6" t="inlineStr">
        <is>
          <t>Restricted funds</t>
        </is>
      </c>
      <c r="M45" s="6" t="inlineStr">
        <is>
          <t>NBSAP</t>
        </is>
      </c>
    </row>
    <row r="46">
      <c r="A46" s="6" t="inlineStr">
        <is>
          <t>M129</t>
        </is>
      </c>
      <c r="B46" s="6" t="inlineStr">
        <is>
          <t>FRA</t>
        </is>
      </c>
      <c r="C46" s="6" t="inlineStr">
        <is>
          <t>UD03</t>
        </is>
      </c>
      <c r="D46" s="6" t="inlineStr">
        <is>
          <t>I12</t>
        </is>
      </c>
      <c r="E46" s="6" t="inlineStr">
        <is>
          <t>The allocation criteria aim to support rural districts whose region is covered by a significant proportion of protected areas or is adjacent to a marine protected area.</t>
        </is>
      </c>
      <c r="F46" s="17" t="n">
        <v>100000000</v>
      </c>
      <c r="G46" s="8">
        <f>IFERROR(INDEX(Sub_Markets!$B$5:$B$77,MATCH(D46,Sub_Markets!$A$5:$A$77,0)),C46)</f>
        <v/>
      </c>
      <c r="H46" s="6" t="inlineStr">
        <is>
          <t>EUR</t>
        </is>
      </c>
      <c r="I46" s="8">
        <f>IF(C46=G46,"Yes","No")</f>
        <v/>
      </c>
      <c r="J46" s="17" t="n">
        <v>115000000</v>
      </c>
      <c r="K46" s="6" t="inlineStr">
        <is>
          <t>Grant financing</t>
        </is>
      </c>
      <c r="L46" s="6" t="inlineStr">
        <is>
          <t>Restricted funds</t>
        </is>
      </c>
      <c r="M46" s="6" t="inlineStr">
        <is>
          <t>NBSAP</t>
        </is>
      </c>
    </row>
    <row r="47">
      <c r="A47" s="6" t="inlineStr">
        <is>
          <t>M13</t>
        </is>
      </c>
      <c r="B47" s="6" t="inlineStr">
        <is>
          <t>GBR</t>
        </is>
      </c>
      <c r="C47" s="6" t="inlineStr">
        <is>
          <t>W03</t>
        </is>
      </c>
      <c r="D47" s="6" t="inlineStr">
        <is>
          <t>WU14</t>
        </is>
      </c>
      <c r="E47" s="6" t="inlineStr">
        <is>
          <t>Funding to support creation of new wetland habitats across catchments</t>
        </is>
      </c>
      <c r="F47" s="17" t="n">
        <v>30000000</v>
      </c>
      <c r="G47" s="8">
        <f>IFERROR(INDEX(Sub_Markets!$B$5:$B$77,MATCH(D47,Sub_Markets!$A$5:$A$77,0)),C47)</f>
        <v/>
      </c>
      <c r="H47" s="6" t="inlineStr">
        <is>
          <t>GBP</t>
        </is>
      </c>
      <c r="I47" s="8">
        <f>IF(C47=G47,"Yes","No")</f>
        <v/>
      </c>
      <c r="J47" s="17" t="n">
        <v>39600000</v>
      </c>
      <c r="K47" s="6" t="inlineStr">
        <is>
          <t>Grant financing</t>
        </is>
      </c>
      <c r="L47" s="6" t="inlineStr">
        <is>
          <t>Restricted funds</t>
        </is>
      </c>
      <c r="M47" s="6" t="inlineStr">
        <is>
          <t>Plan for Water: our integrated plan for delivering clean and plentiful water - GOV.UK</t>
        </is>
      </c>
    </row>
    <row r="48">
      <c r="A48" s="6" t="inlineStr">
        <is>
          <t>M130</t>
        </is>
      </c>
      <c r="B48" s="6" t="inlineStr">
        <is>
          <t>CAN</t>
        </is>
      </c>
      <c r="C48" s="6" t="inlineStr">
        <is>
          <t>UD02</t>
        </is>
      </c>
      <c r="D48" s="6" t="inlineStr">
        <is>
          <t>I5</t>
        </is>
      </c>
      <c r="E48" s="6" t="inlineStr">
        <is>
          <t>The National Program for Ecological Corridors supports the identification and recognition of ecological corridors in key areas across Canada</t>
        </is>
      </c>
      <c r="F48" s="17" t="n">
        <v>60600000</v>
      </c>
      <c r="G48" s="8">
        <f>IFERROR(INDEX(Sub_Markets!$B$5:$B$77,MATCH(D48,Sub_Markets!$A$5:$A$77,0)),C48)</f>
        <v/>
      </c>
      <c r="H48" s="6" t="inlineStr">
        <is>
          <t>CAD</t>
        </is>
      </c>
      <c r="I48" s="8">
        <f>IF(C48=G48,"Yes","No")</f>
        <v/>
      </c>
      <c r="J48" s="17" t="n">
        <v>43632000</v>
      </c>
      <c r="K48" s="6" t="inlineStr">
        <is>
          <t>Grant financing</t>
        </is>
      </c>
      <c r="L48" s="6" t="inlineStr">
        <is>
          <t>Restricted funds</t>
        </is>
      </c>
      <c r="M48" s="6" t="inlineStr">
        <is>
          <t>Government of Canada Adaptation Action Plan - Canada.ca</t>
        </is>
      </c>
    </row>
    <row r="49">
      <c r="A49" s="6" t="inlineStr">
        <is>
          <t>M131</t>
        </is>
      </c>
      <c r="B49" s="6" t="inlineStr">
        <is>
          <t>CAN</t>
        </is>
      </c>
      <c r="C49" s="6" t="inlineStr">
        <is>
          <t>UD02</t>
        </is>
      </c>
      <c r="D49" s="6" t="inlineStr">
        <is>
          <t>I9</t>
        </is>
      </c>
      <c r="E49" s="6" t="inlineStr">
        <is>
          <t>The CIB has allocated investments areas ioncluding green infrastructure</t>
        </is>
      </c>
      <c r="F49" s="17" t="n">
        <v>5000000000</v>
      </c>
      <c r="G49" s="8">
        <f>IFERROR(INDEX(Sub_Markets!$B$5:$B$77,MATCH(D49,Sub_Markets!$A$5:$A$77,0)),C49)</f>
        <v/>
      </c>
      <c r="H49" s="6" t="inlineStr">
        <is>
          <t>CAD</t>
        </is>
      </c>
      <c r="I49" s="8">
        <f>IF(C49=G49,"Yes","No")</f>
        <v/>
      </c>
      <c r="J49" s="17" t="n">
        <v>3600000000</v>
      </c>
      <c r="K49" s="6" t="inlineStr">
        <is>
          <t>Grant financing</t>
        </is>
      </c>
      <c r="L49" s="6" t="inlineStr">
        <is>
          <t>Restricted funds</t>
        </is>
      </c>
      <c r="M49" s="6" t="inlineStr">
        <is>
          <t>En4-460-2022-eng.pdf</t>
        </is>
      </c>
    </row>
    <row r="50">
      <c r="A50" s="6" t="inlineStr">
        <is>
          <t>M132</t>
        </is>
      </c>
      <c r="B50" s="6" t="inlineStr">
        <is>
          <t>ESP</t>
        </is>
      </c>
      <c r="C50" s="6" t="inlineStr">
        <is>
          <t>UD02</t>
        </is>
      </c>
      <c r="D50" s="6" t="inlineStr">
        <is>
          <t>I9</t>
        </is>
      </c>
      <c r="E50" s="6" t="inlineStr">
        <is>
          <t>ERDF allocation for returning nature to urban fabric</t>
        </is>
      </c>
      <c r="F50" s="17" t="n">
        <v>233300000</v>
      </c>
      <c r="G50" s="8">
        <f>IFERROR(INDEX(Sub_Markets!$B$5:$B$77,MATCH(D50,Sub_Markets!$A$5:$A$77,0)),C50)</f>
        <v/>
      </c>
      <c r="H50" s="6" t="inlineStr">
        <is>
          <t>EUR</t>
        </is>
      </c>
      <c r="I50" s="8">
        <f>IF(C50=G50,"Yes","No")</f>
        <v/>
      </c>
      <c r="J50" s="17" t="n">
        <v>268295000</v>
      </c>
      <c r="K50" s="6" t="inlineStr">
        <is>
          <t>Grant financing</t>
        </is>
      </c>
      <c r="L50" s="6" t="inlineStr">
        <is>
          <t>Restricted funds</t>
        </is>
      </c>
      <c r="M50" s="6" t="inlineStr">
        <is>
          <t>MITECO continues its commitment to the renaturalization of cities with the approval of 12 new projects for 39.3 million euros</t>
        </is>
      </c>
    </row>
    <row r="51">
      <c r="A51" s="6" t="inlineStr">
        <is>
          <t>M133</t>
        </is>
      </c>
      <c r="B51" s="6" t="inlineStr">
        <is>
          <t>IRL</t>
        </is>
      </c>
      <c r="C51" s="6" t="inlineStr">
        <is>
          <t>UD03</t>
        </is>
      </c>
      <c r="D51" s="6" t="inlineStr">
        <is>
          <t>I11</t>
        </is>
      </c>
      <c r="E51" s="6" t="inlineStr">
        <is>
          <t>Support the establishment, expansion and enhancement of National Parks and Nature Reserves</t>
        </is>
      </c>
      <c r="F51" s="17" t="n">
        <v>3000000</v>
      </c>
      <c r="G51" s="8">
        <f>IFERROR(INDEX(Sub_Markets!$B$5:$B$77,MATCH(D51,Sub_Markets!$A$5:$A$77,0)),C51)</f>
        <v/>
      </c>
      <c r="H51" s="6" t="inlineStr">
        <is>
          <t>EUR</t>
        </is>
      </c>
      <c r="I51" s="8">
        <f>IF(C51=G51,"Yes","No")</f>
        <v/>
      </c>
      <c r="J51" s="17" t="n">
        <v>3450000</v>
      </c>
      <c r="K51" s="6" t="inlineStr">
        <is>
          <t>Grant financing</t>
        </is>
      </c>
      <c r="L51" s="6" t="inlineStr">
        <is>
          <t>Restricted funds</t>
        </is>
      </c>
      <c r="M51" s="6" t="inlineStr">
        <is>
          <t>NBSAP</t>
        </is>
      </c>
    </row>
    <row r="52">
      <c r="A52" s="6" t="inlineStr">
        <is>
          <t>M134</t>
        </is>
      </c>
      <c r="B52" s="6" t="inlineStr">
        <is>
          <t>IRL</t>
        </is>
      </c>
      <c r="C52" s="6" t="inlineStr">
        <is>
          <t>UD01</t>
        </is>
      </c>
      <c r="D52" s="6" t="inlineStr">
        <is>
          <t>I1</t>
        </is>
      </c>
      <c r="E52" s="6" t="inlineStr">
        <is>
          <t>Investment under the EU Just Transition Fund (Ireland) for bioeconomy projects (2026. Includes material science, bio‑char, and bio‑based applications with relevance to construction</t>
        </is>
      </c>
      <c r="F52" s="17" t="n">
        <v>10000000</v>
      </c>
      <c r="G52" s="8">
        <f>IFERROR(INDEX(Sub_Markets!$B$5:$B$77,MATCH(D52,Sub_Markets!$A$5:$A$77,0)),C52)</f>
        <v/>
      </c>
      <c r="H52" s="6" t="inlineStr">
        <is>
          <t>EUR</t>
        </is>
      </c>
      <c r="I52" s="8">
        <f>IF(C52=G52,"Yes","No")</f>
        <v/>
      </c>
      <c r="J52" s="17" t="n">
        <v>11500000</v>
      </c>
      <c r="K52" s="6" t="inlineStr">
        <is>
          <t>Grant financing</t>
        </is>
      </c>
      <c r="L52" s="6" t="inlineStr">
        <is>
          <t>Restricted funds</t>
        </is>
      </c>
      <c r="M52" s="6" t="inlineStr">
        <is>
          <t>NBSAP</t>
        </is>
      </c>
    </row>
    <row r="53">
      <c r="A53" s="6" t="inlineStr">
        <is>
          <t>M135</t>
        </is>
      </c>
      <c r="B53" s="6" t="inlineStr">
        <is>
          <t>PRT</t>
        </is>
      </c>
      <c r="C53" s="6" t="inlineStr">
        <is>
          <t>UD02</t>
        </is>
      </c>
      <c r="D53" s="6" t="inlineStr">
        <is>
          <t>I9</t>
        </is>
      </c>
      <c r="E53" s="6" t="inlineStr">
        <is>
          <t>In 2023, the EIB invested in Portugal under its sustainable cities and regions public policy goal</t>
        </is>
      </c>
      <c r="F53" s="17" t="n">
        <v>209000000</v>
      </c>
      <c r="G53" s="8">
        <f>IFERROR(INDEX(Sub_Markets!$B$5:$B$77,MATCH(D53,Sub_Markets!$A$5:$A$77,0)),C53)</f>
        <v/>
      </c>
      <c r="H53" s="6" t="inlineStr">
        <is>
          <t>EUR</t>
        </is>
      </c>
      <c r="I53" s="8">
        <f>IF(C53=G53,"Yes","No")</f>
        <v/>
      </c>
      <c r="J53" s="17" t="n">
        <v>240350000</v>
      </c>
      <c r="K53" s="6" t="inlineStr">
        <is>
          <t>Debt financing</t>
        </is>
      </c>
      <c r="L53" s="6" t="inlineStr">
        <is>
          <t>Term debt</t>
        </is>
      </c>
      <c r="M53" s="6" t="inlineStr">
        <is>
          <t>EIB boosts investment commitments in Portugal with a focus on companies and green transition</t>
        </is>
      </c>
    </row>
    <row r="54">
      <c r="A54" s="6" t="inlineStr">
        <is>
          <t>M136</t>
        </is>
      </c>
      <c r="B54" s="6" t="inlineStr">
        <is>
          <t>ITA</t>
        </is>
      </c>
      <c r="C54" s="6" t="inlineStr">
        <is>
          <t>UD01</t>
        </is>
      </c>
      <c r="D54" s="6" t="inlineStr">
        <is>
          <t>I1</t>
        </is>
      </c>
      <c r="E54" s="6" t="inlineStr">
        <is>
          <t>Judicial buildings renovated with sustainable materials and anti-seismic measures</t>
        </is>
      </c>
      <c r="F54" s="17" t="n">
        <v>411700000</v>
      </c>
      <c r="G54" s="8">
        <f>IFERROR(INDEX(Sub_Markets!$B$5:$B$77,MATCH(D54,Sub_Markets!$A$5:$A$77,0)),C54)</f>
        <v/>
      </c>
      <c r="H54" s="6" t="inlineStr">
        <is>
          <t>EUR</t>
        </is>
      </c>
      <c r="I54" s="8">
        <f>IF(C54=G54,"Yes","No")</f>
        <v/>
      </c>
      <c r="J54" s="17" t="n">
        <v>473454999.9999999</v>
      </c>
      <c r="K54" s="6" t="inlineStr">
        <is>
          <t>Debt financing</t>
        </is>
      </c>
      <c r="L54" s="6" t="inlineStr">
        <is>
          <t>Term debt</t>
        </is>
      </c>
      <c r="M54" s="6" t="inlineStr">
        <is>
          <t>Efficiency of judicial buildings - Italia Domani</t>
        </is>
      </c>
    </row>
    <row r="55">
      <c r="A55" s="6" t="inlineStr">
        <is>
          <t>M137</t>
        </is>
      </c>
      <c r="B55" s="6" t="inlineStr">
        <is>
          <t>ITA</t>
        </is>
      </c>
      <c r="C55" s="6" t="inlineStr">
        <is>
          <t>UD03</t>
        </is>
      </c>
      <c r="D55" s="6" t="inlineStr">
        <is>
          <t>I12</t>
        </is>
      </c>
      <c r="E55" s="6" t="inlineStr">
        <is>
          <t>Increased digitalisation of national parks and marine reserves to better protect the local area and natural habitats</t>
        </is>
      </c>
      <c r="F55" s="17" t="n">
        <v>100000000</v>
      </c>
      <c r="G55" s="8">
        <f>IFERROR(INDEX(Sub_Markets!$B$5:$B$77,MATCH(D55,Sub_Markets!$A$5:$A$77,0)),C55)</f>
        <v/>
      </c>
      <c r="H55" s="6" t="inlineStr">
        <is>
          <t>EUR</t>
        </is>
      </c>
      <c r="I55" s="8">
        <f>IF(C55=G55,"Yes","No")</f>
        <v/>
      </c>
      <c r="J55" s="17" t="n">
        <v>115000000</v>
      </c>
      <c r="K55" s="6" t="inlineStr">
        <is>
          <t>Debt financing</t>
        </is>
      </c>
      <c r="L55" s="6" t="inlineStr">
        <is>
          <t>Term debt</t>
        </is>
      </c>
      <c r="M55" s="6" t="inlineStr">
        <is>
          <t>Digitisation of national parks - Italia Domani</t>
        </is>
      </c>
    </row>
    <row r="56">
      <c r="A56" s="6" t="inlineStr">
        <is>
          <t>M138</t>
        </is>
      </c>
      <c r="B56" s="6" t="inlineStr">
        <is>
          <t>ITA</t>
        </is>
      </c>
      <c r="C56" s="6" t="inlineStr">
        <is>
          <t>UD03</t>
        </is>
      </c>
      <c r="D56" s="6" t="inlineStr">
        <is>
          <t>I11</t>
        </is>
      </c>
      <c r="E56" s="6" t="inlineStr">
        <is>
          <t>Plant 4.5 million trees and shrubs, create 4,500 hectares of new forests, transplant at least 3.5 million trees to their final destination, preserve and enhance local biodiversity to improve the quality of life and air in 14 metropolitan cities, increasingly exposed to air pollution, the impact of climate change and loss of biodiversity, with evident negative effects on the well-being and health of citizens.</t>
        </is>
      </c>
      <c r="F56" s="17" t="n">
        <v>210000000</v>
      </c>
      <c r="G56" s="8">
        <f>IFERROR(INDEX(Sub_Markets!$B$5:$B$77,MATCH(D56,Sub_Markets!$A$5:$A$77,0)),C56)</f>
        <v/>
      </c>
      <c r="H56" s="6" t="inlineStr">
        <is>
          <t>EUR</t>
        </is>
      </c>
      <c r="I56" s="8">
        <f>IF(C56=G56,"Yes","No")</f>
        <v/>
      </c>
      <c r="J56" s="17" t="n">
        <v>241500000</v>
      </c>
      <c r="K56" s="6" t="inlineStr">
        <is>
          <t>Grant financing</t>
        </is>
      </c>
      <c r="L56" s="6" t="inlineStr">
        <is>
          <t>Restricted funds</t>
        </is>
      </c>
      <c r="M56" s="6" t="inlineStr">
        <is>
          <t>Protection and enhancement of urban and suburban green areas - Italia Domani</t>
        </is>
      </c>
    </row>
    <row r="57">
      <c r="A57" s="6" t="inlineStr">
        <is>
          <t>M139</t>
        </is>
      </c>
      <c r="B57" s="6" t="inlineStr">
        <is>
          <t>ITA</t>
        </is>
      </c>
      <c r="C57" s="6" t="inlineStr">
        <is>
          <t>UD03</t>
        </is>
      </c>
      <c r="D57" s="6" t="inlineStr">
        <is>
          <t>I10</t>
        </is>
      </c>
      <c r="E57" s="6" t="inlineStr">
        <is>
          <t>Reactivate natural processes and encourage the recovery of diversity in the basin of the most important Italian river, a nerve centre for the economy but compromised by excavations, pollution, land use and excessive canalisation, which have increased the hydrogeological risk and devastated natural habitats.</t>
        </is>
      </c>
      <c r="F57" s="17" t="n">
        <v>357000000</v>
      </c>
      <c r="G57" s="8">
        <f>IFERROR(INDEX(Sub_Markets!$B$5:$B$77,MATCH(D57,Sub_Markets!$A$5:$A$77,0)),C57)</f>
        <v/>
      </c>
      <c r="H57" s="6" t="inlineStr">
        <is>
          <t>EUR</t>
        </is>
      </c>
      <c r="I57" s="8">
        <f>IF(C57=G57,"Yes","No")</f>
        <v/>
      </c>
      <c r="J57" s="17" t="n">
        <v>410549999.9999999</v>
      </c>
      <c r="K57" s="6" t="inlineStr">
        <is>
          <t>Grant financing</t>
        </is>
      </c>
      <c r="L57" s="6" t="inlineStr">
        <is>
          <t>Restricted funds</t>
        </is>
      </c>
      <c r="M57" s="6" t="inlineStr">
        <is>
          <t>Restoration of River Po area - Italia Domani</t>
        </is>
      </c>
    </row>
    <row r="58">
      <c r="A58" s="6" t="inlineStr">
        <is>
          <t>M14</t>
        </is>
      </c>
      <c r="B58" s="6" t="inlineStr">
        <is>
          <t>GBR</t>
        </is>
      </c>
      <c r="C58" s="6" t="inlineStr">
        <is>
          <t>W02</t>
        </is>
      </c>
      <c r="D58" s="6" t="inlineStr">
        <is>
          <t>WU14</t>
        </is>
      </c>
      <c r="E58" s="6" t="inlineStr">
        <is>
          <t>Investing in and improving and restoring our peatlands, supporting us in our long-term ambitions to unblock delivery for up to 23MtCO2e savings by 2050.</t>
        </is>
      </c>
      <c r="F58" s="17" t="n">
        <v>85000000</v>
      </c>
      <c r="G58" s="8">
        <f>IFERROR(INDEX(Sub_Markets!$B$5:$B$77,MATCH(D58,Sub_Markets!$A$5:$A$77,0)),C58)</f>
        <v/>
      </c>
      <c r="H58" s="6" t="inlineStr">
        <is>
          <t>GBP</t>
        </is>
      </c>
      <c r="I58" s="8">
        <f>IF(C58=G58,"Yes","No")</f>
        <v/>
      </c>
      <c r="J58" s="17" t="n">
        <v>112200000</v>
      </c>
      <c r="K58" s="6" t="inlineStr">
        <is>
          <t>Grant financing</t>
        </is>
      </c>
      <c r="L58" s="6" t="inlineStr">
        <is>
          <t>Restricted funds</t>
        </is>
      </c>
      <c r="M58" s="6" t="inlineStr">
        <is>
          <t>NBSAP</t>
        </is>
      </c>
    </row>
    <row r="59">
      <c r="A59" s="6" t="inlineStr">
        <is>
          <t>M140</t>
        </is>
      </c>
      <c r="B59" s="6" t="inlineStr">
        <is>
          <t>ITA</t>
        </is>
      </c>
      <c r="C59" s="6" t="inlineStr">
        <is>
          <t>UD03</t>
        </is>
      </c>
      <c r="D59" s="6" t="inlineStr">
        <is>
          <t>I11</t>
        </is>
      </c>
      <c r="E59" s="6" t="inlineStr">
        <is>
          <t>The investment aims to regenerate and redevelop the historic parks and gardens of Italian cities, in particular by enhancing and highlighting the cultural heritage within them, to improve the quality of life of citizens and create new poles of attraction, including tourism.</t>
        </is>
      </c>
      <c r="F59" s="17" t="n">
        <v>300000000</v>
      </c>
      <c r="G59" s="8">
        <f>IFERROR(INDEX(Sub_Markets!$B$5:$B$77,MATCH(D59,Sub_Markets!$A$5:$A$77,0)),C59)</f>
        <v/>
      </c>
      <c r="H59" s="6" t="inlineStr">
        <is>
          <t>EUR</t>
        </is>
      </c>
      <c r="I59" s="8">
        <f>IF(C59=G59,"Yes","No")</f>
        <v/>
      </c>
      <c r="J59" s="17" t="n">
        <v>345000000</v>
      </c>
      <c r="K59" s="6" t="inlineStr">
        <is>
          <t>Grant financing</t>
        </is>
      </c>
      <c r="L59" s="6" t="inlineStr">
        <is>
          <t>Restricted funds</t>
        </is>
      </c>
      <c r="M59" s="6" t="inlineStr">
        <is>
          <t>Programs to enhance the identity of places: historic parks and gardens Italy tomorrow</t>
        </is>
      </c>
    </row>
    <row r="60">
      <c r="A60" s="6" t="inlineStr">
        <is>
          <t>M141</t>
        </is>
      </c>
      <c r="B60" s="6" t="inlineStr">
        <is>
          <t>ITA</t>
        </is>
      </c>
      <c r="C60" s="6" t="inlineStr">
        <is>
          <t>UD02</t>
        </is>
      </c>
      <c r="D60" s="6" t="inlineStr">
        <is>
          <t>I9</t>
        </is>
      </c>
      <c r="E60" s="6" t="inlineStr">
        <is>
          <t>The objective of the investment is to build new public housing, reducing housing difficulties, redeveloping degraded areas and focusing on sustainability and green innovation.</t>
        </is>
      </c>
      <c r="F60" s="17" t="n">
        <v>2800000000</v>
      </c>
      <c r="G60" s="8">
        <f>IFERROR(INDEX(Sub_Markets!$B$5:$B$77,MATCH(D60,Sub_Markets!$A$5:$A$77,0)),C60)</f>
        <v/>
      </c>
      <c r="H60" s="6" t="inlineStr">
        <is>
          <t>EUR</t>
        </is>
      </c>
      <c r="I60" s="8">
        <f>IF(C60=G60,"Yes","No")</f>
        <v/>
      </c>
      <c r="J60" s="17" t="n">
        <v>3220000000</v>
      </c>
      <c r="K60" s="6" t="inlineStr">
        <is>
          <t>Debt financing</t>
        </is>
      </c>
      <c r="L60" s="6" t="inlineStr">
        <is>
          <t>Term debt</t>
        </is>
      </c>
      <c r="M60" s="6" t="inlineStr">
        <is>
          <t>Innovative Programme for the Quality of Living - Italia Domani</t>
        </is>
      </c>
    </row>
    <row r="61">
      <c r="A61" s="6" t="inlineStr">
        <is>
          <t>M142</t>
        </is>
      </c>
      <c r="B61" s="6" t="inlineStr">
        <is>
          <t>GBR</t>
        </is>
      </c>
      <c r="C61" s="6" t="inlineStr">
        <is>
          <t>DM03</t>
        </is>
      </c>
      <c r="D61" s="6" t="inlineStr">
        <is>
          <t>A11</t>
        </is>
      </c>
      <c r="E61" s="6" t="inlineStr">
        <is>
          <t>Create GBP DEFRA-UKRI joint research initiative to support adaptation action with research innovation</t>
        </is>
      </c>
      <c r="F61" s="17" t="n">
        <v>15000000</v>
      </c>
      <c r="G61" s="8">
        <f>IFERROR(INDEX(Sub_Markets!$B$5:$B$77,MATCH(D61,Sub_Markets!$A$5:$A$77,0)),C61)</f>
        <v/>
      </c>
      <c r="H61" s="6" t="inlineStr">
        <is>
          <t>GBP</t>
        </is>
      </c>
      <c r="I61" s="8">
        <f>IF(C61=G61,"Yes","No")</f>
        <v/>
      </c>
      <c r="J61" s="17" t="n">
        <v>19800000</v>
      </c>
      <c r="K61" s="6" t="inlineStr">
        <is>
          <t>Grant financing</t>
        </is>
      </c>
      <c r="L61" s="6" t="inlineStr">
        <is>
          <t>Restricted funds</t>
        </is>
      </c>
      <c r="M61" s="6" t="inlineStr">
        <is>
          <t>NBSAP</t>
        </is>
      </c>
    </row>
    <row r="62">
      <c r="A62" s="6" t="inlineStr">
        <is>
          <t>M143</t>
        </is>
      </c>
      <c r="B62" s="6" t="inlineStr">
        <is>
          <t>GBR</t>
        </is>
      </c>
      <c r="C62" s="6" t="inlineStr">
        <is>
          <t>DM02</t>
        </is>
      </c>
      <c r="D62" s="6" t="inlineStr">
        <is>
          <t>A01</t>
        </is>
      </c>
      <c r="E62" s="6" t="inlineStr">
        <is>
          <t>Nature-based solutions are a key part of our approach to mitigating flood risk and coastal erosion. We will invest in natural flood management over 10 years</t>
        </is>
      </c>
      <c r="F62" s="17" t="n">
        <v>300000000</v>
      </c>
      <c r="G62" s="8">
        <f>IFERROR(INDEX(Sub_Markets!$B$5:$B$77,MATCH(D62,Sub_Markets!$A$5:$A$77,0)),C62)</f>
        <v/>
      </c>
      <c r="H62" s="6" t="inlineStr">
        <is>
          <t>GBP</t>
        </is>
      </c>
      <c r="I62" s="8">
        <f>IF(C62=G62,"Yes","No")</f>
        <v/>
      </c>
      <c r="J62" s="17" t="n">
        <v>396000000</v>
      </c>
      <c r="K62" s="6" t="inlineStr">
        <is>
          <t>Grant financing</t>
        </is>
      </c>
      <c r="L62" s="6" t="inlineStr">
        <is>
          <t>Restricted funds</t>
        </is>
      </c>
      <c r="M62" s="6" t="inlineStr">
        <is>
          <t>NBSAP</t>
        </is>
      </c>
    </row>
    <row r="63">
      <c r="A63" s="6" t="inlineStr">
        <is>
          <t>M144</t>
        </is>
      </c>
      <c r="B63" s="6" t="inlineStr">
        <is>
          <t>GBR</t>
        </is>
      </c>
      <c r="C63" s="6" t="inlineStr">
        <is>
          <t>DM02</t>
        </is>
      </c>
      <c r="D63" s="6" t="inlineStr">
        <is>
          <t>A02</t>
        </is>
      </c>
      <c r="E63" s="6" t="inlineStr">
        <is>
          <t>We inherited flood assets in their worst condition on record, with 92% of the Environment Agency’s 38,000 high consequence assets at required condition, which is why an additional amount is being re-prioritised into asset maintenance , ensuring an additional 14,500 properties will have their expected level of protection maintained or restored</t>
        </is>
      </c>
      <c r="F63" s="17" t="n">
        <v>108000000</v>
      </c>
      <c r="G63" s="8">
        <f>IFERROR(INDEX(Sub_Markets!$B$5:$B$77,MATCH(D63,Sub_Markets!$A$5:$A$77,0)),C63)</f>
        <v/>
      </c>
      <c r="H63" s="6" t="inlineStr">
        <is>
          <t>GBP</t>
        </is>
      </c>
      <c r="I63" s="8">
        <f>IF(C63=G63,"Yes","No")</f>
        <v/>
      </c>
      <c r="J63" s="17" t="n">
        <v>142560000</v>
      </c>
      <c r="K63" s="6" t="inlineStr">
        <is>
          <t>Grant financing</t>
        </is>
      </c>
      <c r="L63" s="6" t="inlineStr">
        <is>
          <t>Restricted funds</t>
        </is>
      </c>
      <c r="M63" s="6" t="inlineStr">
        <is>
          <t>NBSAP</t>
        </is>
      </c>
    </row>
    <row r="64">
      <c r="A64" s="6" t="inlineStr">
        <is>
          <t>M145</t>
        </is>
      </c>
      <c r="B64" s="6" t="inlineStr">
        <is>
          <t>GBR</t>
        </is>
      </c>
      <c r="C64" s="6" t="inlineStr">
        <is>
          <t>DM02</t>
        </is>
      </c>
      <c r="D64" s="6" t="inlineStr">
        <is>
          <t>A01</t>
        </is>
      </c>
      <c r="E64" s="6" t="inlineStr">
        <is>
          <t>Better protect 52,000 properties from flooding by March 2026</t>
        </is>
      </c>
      <c r="F64" s="17" t="n">
        <v>2650000000</v>
      </c>
      <c r="G64" s="8">
        <f>IFERROR(INDEX(Sub_Markets!$B$5:$B$77,MATCH(D64,Sub_Markets!$A$5:$A$77,0)),C64)</f>
        <v/>
      </c>
      <c r="H64" s="6" t="inlineStr">
        <is>
          <t>GBP</t>
        </is>
      </c>
      <c r="I64" s="8">
        <f>IF(C64=G64,"Yes","No")</f>
        <v/>
      </c>
      <c r="J64" s="17" t="n">
        <v>3498000000</v>
      </c>
      <c r="K64" s="6" t="inlineStr">
        <is>
          <t>Grant financing</t>
        </is>
      </c>
      <c r="L64" s="6" t="inlineStr">
        <is>
          <t>Restricted funds</t>
        </is>
      </c>
      <c r="M64" s="6" t="inlineStr">
        <is>
          <t>Flood and coastal erosion risk management: an investment plan for 2021 to 2027 - GOV.UK</t>
        </is>
      </c>
    </row>
    <row r="65">
      <c r="A65" s="6" t="inlineStr">
        <is>
          <t>M146</t>
        </is>
      </c>
      <c r="B65" s="6" t="inlineStr">
        <is>
          <t>GBR</t>
        </is>
      </c>
      <c r="C65" s="6" t="inlineStr">
        <is>
          <t>DM02</t>
        </is>
      </c>
      <c r="D65" s="6" t="inlineStr">
        <is>
          <t>A01</t>
        </is>
      </c>
      <c r="E65" s="6" t="inlineStr">
        <is>
          <t>New 6-year flood and coastal defence investment programme in England between 2021 and 2027</t>
        </is>
      </c>
      <c r="F65" s="17" t="n">
        <v>5200000000</v>
      </c>
      <c r="G65" s="8">
        <f>IFERROR(INDEX(Sub_Markets!$B$5:$B$77,MATCH(D65,Sub_Markets!$A$5:$A$77,0)),C65)</f>
        <v/>
      </c>
      <c r="H65" s="6" t="inlineStr">
        <is>
          <t>GBP</t>
        </is>
      </c>
      <c r="I65" s="8">
        <f>IF(C65=G65,"Yes","No")</f>
        <v/>
      </c>
      <c r="J65" s="17" t="n">
        <v>6864000000</v>
      </c>
      <c r="K65" s="6" t="inlineStr">
        <is>
          <t>Grant financing</t>
        </is>
      </c>
      <c r="L65" s="6" t="inlineStr">
        <is>
          <t>Restricted funds</t>
        </is>
      </c>
      <c r="M65" s="6" t="inlineStr">
        <is>
          <t>Flood and coastal erosion risk management: an investment plan for 2021 to 2027 - GOV.UK</t>
        </is>
      </c>
    </row>
    <row r="66">
      <c r="A66" s="6" t="inlineStr">
        <is>
          <t>M147</t>
        </is>
      </c>
      <c r="B66" s="6" t="inlineStr">
        <is>
          <t>CAN</t>
        </is>
      </c>
      <c r="C66" s="6" t="inlineStr">
        <is>
          <t>DM03</t>
        </is>
      </c>
      <c r="D66" s="6" t="inlineStr">
        <is>
          <t>A13</t>
        </is>
      </c>
      <c r="E66" s="6" t="inlineStr">
        <is>
          <t>Disaster mitigation and adaptation fund for structural and natural infrastructure projects to reduce disaster impacts. Initial launch in 2018 over 10 years, with a renewal for 12 years and a top up in 2021.</t>
        </is>
      </c>
      <c r="F66" s="17" t="n">
        <v>3375000000</v>
      </c>
      <c r="G66" s="8">
        <f>IFERROR(INDEX(Sub_Markets!$B$5:$B$77,MATCH(D66,Sub_Markets!$A$5:$A$77,0)),C66)</f>
        <v/>
      </c>
      <c r="H66" s="6" t="inlineStr">
        <is>
          <t>CAD</t>
        </is>
      </c>
      <c r="I66" s="8">
        <f>IF(C66=G66,"Yes","No")</f>
        <v/>
      </c>
      <c r="J66" s="17" t="n">
        <v>2430000000</v>
      </c>
      <c r="K66" s="6" t="inlineStr">
        <is>
          <t>Grant financing</t>
        </is>
      </c>
      <c r="L66" s="6" t="inlineStr">
        <is>
          <t>Restricted funds</t>
        </is>
      </c>
      <c r="M66" s="6" t="inlineStr">
        <is>
          <t>Housing, Infrastructure and Communities Canada - Disaster Mitigation and Adaptation Fund: Overview</t>
        </is>
      </c>
    </row>
    <row r="67">
      <c r="A67" s="6" t="inlineStr">
        <is>
          <t>M148</t>
        </is>
      </c>
      <c r="B67" s="6" t="inlineStr">
        <is>
          <t>CAN</t>
        </is>
      </c>
      <c r="C67" s="6" t="inlineStr">
        <is>
          <t>DM02</t>
        </is>
      </c>
      <c r="D67" s="6" t="inlineStr">
        <is>
          <t>A01</t>
        </is>
      </c>
      <c r="E67" s="6" t="inlineStr">
        <is>
          <t>Flood Hazard Identification and mapping program to update/expand flood mapping across Canada.</t>
        </is>
      </c>
      <c r="F67" s="17" t="n">
        <v>227000000</v>
      </c>
      <c r="G67" s="8">
        <f>IFERROR(INDEX(Sub_Markets!$B$5:$B$77,MATCH(D67,Sub_Markets!$A$5:$A$77,0)),C67)</f>
        <v/>
      </c>
      <c r="H67" s="6" t="inlineStr">
        <is>
          <t>CAD</t>
        </is>
      </c>
      <c r="I67" s="8">
        <f>IF(C67=G67,"Yes","No")</f>
        <v/>
      </c>
      <c r="J67" s="17" t="n">
        <v>163440000</v>
      </c>
      <c r="K67" s="6" t="inlineStr">
        <is>
          <t>Grant financing</t>
        </is>
      </c>
      <c r="L67" s="6" t="inlineStr">
        <is>
          <t>Restricted funds</t>
        </is>
      </c>
      <c r="M67" s="6" t="inlineStr">
        <is>
          <t>Flood Hazard Identification and Mapping Program - Natural Resources Canada</t>
        </is>
      </c>
    </row>
    <row r="68">
      <c r="A68" s="6" t="inlineStr">
        <is>
          <t>M149</t>
        </is>
      </c>
      <c r="B68" s="6" t="inlineStr">
        <is>
          <t>CAN</t>
        </is>
      </c>
      <c r="C68" s="6" t="inlineStr">
        <is>
          <t>DM03</t>
        </is>
      </c>
      <c r="D68" s="6" t="inlineStr">
        <is>
          <t>A13</t>
        </is>
      </c>
      <c r="E68" s="6" t="inlineStr">
        <is>
          <t>Projects that leverage Nature-based solutions and contribute biodiversity benefits.</t>
        </is>
      </c>
      <c r="F68" s="17" t="n">
        <v>1000000000</v>
      </c>
      <c r="G68" s="8">
        <f>IFERROR(INDEX(Sub_Markets!$B$5:$B$77,MATCH(D68,Sub_Markets!$A$5:$A$77,0)),C68)</f>
        <v/>
      </c>
      <c r="H68" s="6" t="inlineStr">
        <is>
          <t>CAD</t>
        </is>
      </c>
      <c r="I68" s="8">
        <f>IF(C68=G68,"Yes","No")</f>
        <v/>
      </c>
      <c r="J68" s="17" t="n">
        <v>720000000</v>
      </c>
      <c r="K68" s="6" t="inlineStr">
        <is>
          <t>Grant financing</t>
        </is>
      </c>
      <c r="L68" s="6" t="inlineStr">
        <is>
          <t>Restricted funds</t>
        </is>
      </c>
      <c r="M68" s="6" t="inlineStr">
        <is>
          <t>NBSAP</t>
        </is>
      </c>
    </row>
    <row r="69">
      <c r="A69" s="6" t="inlineStr">
        <is>
          <t>M15</t>
        </is>
      </c>
      <c r="B69" s="6" t="inlineStr">
        <is>
          <t>CAN</t>
        </is>
      </c>
      <c r="C69" s="6" t="inlineStr">
        <is>
          <t>W01</t>
        </is>
      </c>
      <c r="D69" s="6" t="inlineStr">
        <is>
          <t>WU04</t>
        </is>
      </c>
      <c r="E69" s="6" t="inlineStr">
        <is>
          <t>Investment over 5 years in the Freshwater Action Plan</t>
        </is>
      </c>
      <c r="F69" s="17" t="n">
        <v>1000000000</v>
      </c>
      <c r="G69" s="8">
        <f>IFERROR(INDEX(Sub_Markets!$B$5:$B$77,MATCH(D69,Sub_Markets!$A$5:$A$77,0)),C69)</f>
        <v/>
      </c>
      <c r="H69" s="6" t="inlineStr">
        <is>
          <t>CAD</t>
        </is>
      </c>
      <c r="I69" s="8">
        <f>IF(C69=G69,"Yes","No")</f>
        <v/>
      </c>
      <c r="J69" s="17" t="n">
        <v>720000000</v>
      </c>
      <c r="K69" s="6" t="inlineStr">
        <is>
          <t>Grant financing</t>
        </is>
      </c>
      <c r="L69" s="6" t="inlineStr">
        <is>
          <t>Restricted funds</t>
        </is>
      </c>
      <c r="M69" s="6" t="inlineStr">
        <is>
          <t>Meaningful Water Policy and Governance Reform in Canada | Department of Economic and Social Affairs</t>
        </is>
      </c>
    </row>
    <row r="70">
      <c r="A70" s="6" t="inlineStr">
        <is>
          <t>M150</t>
        </is>
      </c>
      <c r="B70" s="6" t="inlineStr">
        <is>
          <t>FRA</t>
        </is>
      </c>
      <c r="C70" s="6" t="inlineStr">
        <is>
          <t>DM01</t>
        </is>
      </c>
      <c r="D70" s="6" t="inlineStr">
        <is>
          <t>A04</t>
        </is>
      </c>
      <c r="E70" s="6" t="inlineStr">
        <is>
          <t>Fonds Barnier is a fund to prevent major natural disasters including floods, landslides, coastal erosion, earthquakes, etc… as part of PNACC</t>
        </is>
      </c>
      <c r="F70" s="17" t="n">
        <v>300000000</v>
      </c>
      <c r="G70" s="8">
        <f>IFERROR(INDEX(Sub_Markets!$B$5:$B$77,MATCH(D70,Sub_Markets!$A$5:$A$77,0)),C70)</f>
        <v/>
      </c>
      <c r="H70" s="6" t="inlineStr">
        <is>
          <t>EUR</t>
        </is>
      </c>
      <c r="I70" s="8">
        <f>IF(C70=G70,"Yes","No")</f>
        <v/>
      </c>
      <c r="J70" s="17" t="n">
        <v>345000000</v>
      </c>
      <c r="K70" s="6" t="inlineStr">
        <is>
          <t>Grant financing</t>
        </is>
      </c>
      <c r="L70" s="6" t="inlineStr">
        <is>
          <t>Restricted funds</t>
        </is>
      </c>
      <c r="M70" s="6" t="inlineStr">
        <is>
          <t>Le gouvernement lance un nouveau plan national d’adaptation au changement climatique | Ministères Aménagement du territoire Transition écologique</t>
        </is>
      </c>
    </row>
    <row r="71">
      <c r="A71" s="6" t="inlineStr">
        <is>
          <t>M151</t>
        </is>
      </c>
      <c r="B71" s="6" t="inlineStr">
        <is>
          <t>FRA</t>
        </is>
      </c>
      <c r="C71" s="6" t="inlineStr">
        <is>
          <t>DM01</t>
        </is>
      </c>
      <c r="D71" s="6" t="inlineStr">
        <is>
          <t>A04</t>
        </is>
      </c>
      <c r="E71" s="6" t="inlineStr">
        <is>
          <t>Prevention of soil shrink-swell risk as part of PNACC</t>
        </is>
      </c>
      <c r="F71" s="17" t="n">
        <v>30000000</v>
      </c>
      <c r="G71" s="8">
        <f>IFERROR(INDEX(Sub_Markets!$B$5:$B$77,MATCH(D71,Sub_Markets!$A$5:$A$77,0)),C71)</f>
        <v/>
      </c>
      <c r="H71" s="6" t="inlineStr">
        <is>
          <t>EUR</t>
        </is>
      </c>
      <c r="I71" s="8">
        <f>IF(C71=G71,"Yes","No")</f>
        <v/>
      </c>
      <c r="J71" s="17" t="n">
        <v>34500000</v>
      </c>
      <c r="K71" s="6" t="inlineStr">
        <is>
          <t>Grant financing</t>
        </is>
      </c>
      <c r="L71" s="6" t="inlineStr">
        <is>
          <t>Restricted funds</t>
        </is>
      </c>
      <c r="M71" s="6" t="inlineStr">
        <is>
          <t>Le gouvernement lance un nouveau plan national d’adaptation au changement climatique | Ministères Aménagement du territoire Transition écologique</t>
        </is>
      </c>
    </row>
    <row r="72">
      <c r="A72" s="6" t="inlineStr">
        <is>
          <t>M152</t>
        </is>
      </c>
      <c r="B72" s="6" t="inlineStr">
        <is>
          <t>FRA</t>
        </is>
      </c>
      <c r="C72" s="6" t="inlineStr">
        <is>
          <t>DM03</t>
        </is>
      </c>
      <c r="D72" s="6" t="inlineStr">
        <is>
          <t>A13</t>
        </is>
      </c>
      <c r="E72" s="6" t="inlineStr">
        <is>
          <t>Credits for water agencies going towards adaptation, of which 40% is going towards nature-based solutions as part of PNACC</t>
        </is>
      </c>
      <c r="F72" s="17" t="n">
        <v>1000000000</v>
      </c>
      <c r="G72" s="8">
        <f>IFERROR(INDEX(Sub_Markets!$B$5:$B$77,MATCH(D72,Sub_Markets!$A$5:$A$77,0)),C72)</f>
        <v/>
      </c>
      <c r="H72" s="6" t="inlineStr">
        <is>
          <t>EUR</t>
        </is>
      </c>
      <c r="I72" s="8">
        <f>IF(C72=G72,"Yes","No")</f>
        <v/>
      </c>
      <c r="J72" s="17" t="n">
        <v>1150000000</v>
      </c>
      <c r="K72" s="6" t="inlineStr">
        <is>
          <t>Grant financing</t>
        </is>
      </c>
      <c r="L72" s="6" t="inlineStr">
        <is>
          <t>Restricted funds</t>
        </is>
      </c>
      <c r="M72" s="6" t="inlineStr">
        <is>
          <t>Le gouvernement lance un nouveau plan national d’adaptation au changement climatique | Ministères Aménagement du territoire Transition écologique</t>
        </is>
      </c>
    </row>
    <row r="73">
      <c r="A73" s="6" t="inlineStr">
        <is>
          <t>M153</t>
        </is>
      </c>
      <c r="B73" s="6" t="inlineStr">
        <is>
          <t>FRA</t>
        </is>
      </c>
      <c r="C73" s="6" t="inlineStr">
        <is>
          <t>DM03</t>
        </is>
      </c>
      <c r="D73" s="6" t="inlineStr">
        <is>
          <t>A13</t>
        </is>
      </c>
      <c r="E73" s="6" t="inlineStr">
        <is>
          <t>Fonds vert credits going towards adaptation as part of PNACC</t>
        </is>
      </c>
      <c r="F73" s="17" t="n">
        <v>260000000</v>
      </c>
      <c r="G73" s="8">
        <f>IFERROR(INDEX(Sub_Markets!$B$5:$B$77,MATCH(D73,Sub_Markets!$A$5:$A$77,0)),C73)</f>
        <v/>
      </c>
      <c r="H73" s="6" t="inlineStr">
        <is>
          <t>EUR</t>
        </is>
      </c>
      <c r="I73" s="8">
        <f>IF(C73=G73,"Yes","No")</f>
        <v/>
      </c>
      <c r="J73" s="17" t="n">
        <v>299000000</v>
      </c>
      <c r="K73" s="6" t="inlineStr">
        <is>
          <t>Grant financing</t>
        </is>
      </c>
      <c r="L73" s="6" t="inlineStr">
        <is>
          <t>Restricted funds</t>
        </is>
      </c>
      <c r="M73" s="6" t="inlineStr">
        <is>
          <t>Le gouvernement lance un nouveau plan national d’adaptation au changement climatique | Ministères Aménagement du territoire Transition écologique</t>
        </is>
      </c>
    </row>
    <row r="74">
      <c r="A74" s="6" t="inlineStr">
        <is>
          <t>M154</t>
        </is>
      </c>
      <c r="B74" s="6" t="inlineStr">
        <is>
          <t>ESP</t>
        </is>
      </c>
      <c r="C74" s="6" t="inlineStr">
        <is>
          <t>DM03</t>
        </is>
      </c>
      <c r="D74" s="6" t="inlineStr">
        <is>
          <t>A13</t>
        </is>
      </c>
      <c r="E74" s="6" t="inlineStr">
        <is>
          <t>Recovery and Resilience Plan includes large-scale investment in prevention and resilience, including flood risk management, wildfire prevention, water security and climate resilient infrastructure.</t>
        </is>
      </c>
      <c r="F74" s="17" t="n">
        <v>69500000000</v>
      </c>
      <c r="G74" s="8">
        <f>IFERROR(INDEX(Sub_Markets!$B$5:$B$77,MATCH(D74,Sub_Markets!$A$5:$A$77,0)),C74)</f>
        <v/>
      </c>
      <c r="H74" s="6" t="inlineStr">
        <is>
          <t>EUR</t>
        </is>
      </c>
      <c r="I74" s="8">
        <f>IF(C74=G74,"Yes","No")</f>
        <v/>
      </c>
      <c r="J74" s="17" t="n">
        <v>79925000000</v>
      </c>
      <c r="K74" s="6" t="inlineStr">
        <is>
          <t>Grant financing</t>
        </is>
      </c>
      <c r="L74" s="6" t="inlineStr">
        <is>
          <t>Restricted funds</t>
        </is>
      </c>
      <c r="M74" s="6" t="inlineStr">
        <is>
          <t>Spain's National Recovery and Resilience Plan: Latest state of play | Think Tank | European Parliament</t>
        </is>
      </c>
    </row>
    <row r="75">
      <c r="A75" s="6" t="inlineStr">
        <is>
          <t>M155</t>
        </is>
      </c>
      <c r="B75" s="6" t="inlineStr">
        <is>
          <t>DEU</t>
        </is>
      </c>
      <c r="C75" s="6" t="inlineStr">
        <is>
          <t>DM02</t>
        </is>
      </c>
      <c r="D75" s="6" t="inlineStr">
        <is>
          <t>A02</t>
        </is>
      </c>
      <c r="E75" s="6" t="inlineStr">
        <is>
          <t>National flood protection programme cofinances large-scale flood prevention including dike relocation, flood retention areas, and floodplain restoration. (value is annual budget)</t>
        </is>
      </c>
      <c r="F75" s="17" t="n">
        <v>100000000</v>
      </c>
      <c r="G75" s="8">
        <f>IFERROR(INDEX(Sub_Markets!$B$5:$B$77,MATCH(D75,Sub_Markets!$A$5:$A$77,0)),C75)</f>
        <v/>
      </c>
      <c r="H75" s="6" t="inlineStr">
        <is>
          <t>EUR</t>
        </is>
      </c>
      <c r="I75" s="8">
        <f>IF(C75=G75,"Yes","No")</f>
        <v/>
      </c>
      <c r="J75" s="17" t="n">
        <v>115000000</v>
      </c>
      <c r="K75" s="6" t="inlineStr">
        <is>
          <t>Debt financing</t>
        </is>
      </c>
      <c r="L75" s="6" t="inlineStr">
        <is>
          <t>Term debt</t>
        </is>
      </c>
      <c r="M75" s="6" t="inlineStr">
        <is>
          <t>Flood prevention | Umweltbundesamt</t>
        </is>
      </c>
    </row>
    <row r="76">
      <c r="A76" s="6" t="inlineStr">
        <is>
          <t>M156</t>
        </is>
      </c>
      <c r="B76" s="6" t="inlineStr">
        <is>
          <t>DEU</t>
        </is>
      </c>
      <c r="C76" s="6" t="inlineStr">
        <is>
          <t>DM02</t>
        </is>
      </c>
      <c r="D76" s="6" t="inlineStr">
        <is>
          <t>A15</t>
        </is>
      </c>
      <c r="E76" s="6" t="inlineStr">
        <is>
          <t>EIB financing to two water management associations for flood protection and climate resilient water systems</t>
        </is>
      </c>
      <c r="F76" s="17" t="n">
        <v>500000000</v>
      </c>
      <c r="G76" s="8">
        <f>IFERROR(INDEX(Sub_Markets!$B$5:$B$77,MATCH(D76,Sub_Markets!$A$5:$A$77,0)),C76)</f>
        <v/>
      </c>
      <c r="H76" s="6" t="inlineStr">
        <is>
          <t>EUR</t>
        </is>
      </c>
      <c r="I76" s="8">
        <f>IF(C76=G76,"Yes","No")</f>
        <v/>
      </c>
      <c r="J76" s="17" t="n">
        <v>575000000</v>
      </c>
      <c r="K76" s="6" t="inlineStr">
        <is>
          <t>Debt financing</t>
        </is>
      </c>
      <c r="L76" s="6" t="inlineStr">
        <is>
          <t>Term debt</t>
        </is>
      </c>
      <c r="M76" s="6" t="inlineStr">
        <is>
          <t>Germany: €500 million for flood protection and climate adaptation</t>
        </is>
      </c>
    </row>
    <row r="77">
      <c r="A77" s="6" t="inlineStr">
        <is>
          <t>M157</t>
        </is>
      </c>
      <c r="B77" s="6" t="inlineStr">
        <is>
          <t>IRL</t>
        </is>
      </c>
      <c r="C77" s="6" t="inlineStr">
        <is>
          <t>DM02</t>
        </is>
      </c>
      <c r="D77" s="6" t="inlineStr">
        <is>
          <t>A01</t>
        </is>
      </c>
      <c r="E77" s="6" t="inlineStr">
        <is>
          <t>CFRAM programme and flood relief schemes</t>
        </is>
      </c>
      <c r="F77" s="17" t="n">
        <v>1300000000</v>
      </c>
      <c r="G77" s="8">
        <f>IFERROR(INDEX(Sub_Markets!$B$5:$B$77,MATCH(D77,Sub_Markets!$A$5:$A$77,0)),C77)</f>
        <v/>
      </c>
      <c r="H77" s="6" t="inlineStr">
        <is>
          <t>EUR</t>
        </is>
      </c>
      <c r="I77" s="8">
        <f>IF(C77=G77,"Yes","No")</f>
        <v/>
      </c>
      <c r="J77" s="17" t="n">
        <v>1495000000</v>
      </c>
      <c r="K77" s="6" t="inlineStr">
        <is>
          <t>Grant financing</t>
        </is>
      </c>
      <c r="L77" s="6" t="inlineStr">
        <is>
          <t>Restricted funds</t>
        </is>
      </c>
      <c r="M77" s="6" t="inlineStr">
        <is>
          <t>CFRAM Programme</t>
        </is>
      </c>
    </row>
    <row r="78">
      <c r="A78" s="6" t="inlineStr">
        <is>
          <t>M158</t>
        </is>
      </c>
      <c r="B78" s="6" t="inlineStr">
        <is>
          <t>IRL</t>
        </is>
      </c>
      <c r="C78" s="6" t="inlineStr">
        <is>
          <t>DM02</t>
        </is>
      </c>
      <c r="D78" s="6" t="inlineStr">
        <is>
          <t>A01</t>
        </is>
      </c>
      <c r="E78" s="6" t="inlineStr">
        <is>
          <t>Funding for flood mitigation works and coastal protection scheme per project.</t>
        </is>
      </c>
      <c r="F78" s="17" t="n">
        <v>2000000</v>
      </c>
      <c r="G78" s="8">
        <f>IFERROR(INDEX(Sub_Markets!$B$5:$B$77,MATCH(D78,Sub_Markets!$A$5:$A$77,0)),C78)</f>
        <v/>
      </c>
      <c r="H78" s="6" t="inlineStr">
        <is>
          <t>EUR</t>
        </is>
      </c>
      <c r="I78" s="8">
        <f>IF(C78=G78,"Yes","No")</f>
        <v/>
      </c>
      <c r="J78" s="17" t="n">
        <v>2300000</v>
      </c>
      <c r="K78" s="6" t="inlineStr">
        <is>
          <t>Grant financing</t>
        </is>
      </c>
      <c r="L78" s="6" t="inlineStr">
        <is>
          <t>Restricted funds</t>
        </is>
      </c>
      <c r="M78" s="6" t="inlineStr">
        <is>
          <t>Minister Moran announces an increase in funding supports available to Local Authorities under the OPW Minor Works Scheme</t>
        </is>
      </c>
    </row>
    <row r="79">
      <c r="A79" s="6" t="inlineStr">
        <is>
          <t>M159</t>
        </is>
      </c>
      <c r="B79" s="6" t="inlineStr">
        <is>
          <t>IRL</t>
        </is>
      </c>
      <c r="C79" s="6" t="inlineStr">
        <is>
          <t>DM02</t>
        </is>
      </c>
      <c r="D79" s="6" t="inlineStr">
        <is>
          <t>A03</t>
        </is>
      </c>
      <c r="E79" s="6" t="inlineStr">
        <is>
          <t>Ring-fenced funds for urgent river blockages and storm-related works.</t>
        </is>
      </c>
      <c r="F79" s="17" t="n">
        <v>3000000</v>
      </c>
      <c r="G79" s="8">
        <f>IFERROR(INDEX(Sub_Markets!$B$5:$B$77,MATCH(D79,Sub_Markets!$A$5:$A$77,0)),C79)</f>
        <v/>
      </c>
      <c r="H79" s="6" t="inlineStr">
        <is>
          <t>EUR</t>
        </is>
      </c>
      <c r="I79" s="8">
        <f>IF(C79=G79,"Yes","No")</f>
        <v/>
      </c>
      <c r="J79" s="17" t="n">
        <v>3450000</v>
      </c>
      <c r="K79" s="6" t="inlineStr">
        <is>
          <t>Grant financing</t>
        </is>
      </c>
      <c r="L79" s="6" t="inlineStr">
        <is>
          <t>Restricted funds</t>
        </is>
      </c>
      <c r="M79" s="6" t="inlineStr">
        <is>
          <t>Minister Moran announces an increase in funding supports available to Local Authorities under the OPW Minor Works Scheme</t>
        </is>
      </c>
    </row>
    <row r="80">
      <c r="A80" s="6" t="inlineStr">
        <is>
          <t>M16</t>
        </is>
      </c>
      <c r="B80" s="6" t="inlineStr">
        <is>
          <t>CAN</t>
        </is>
      </c>
      <c r="C80" s="6" t="inlineStr">
        <is>
          <t>W02</t>
        </is>
      </c>
      <c r="D80" s="6" t="inlineStr">
        <is>
          <t>WU11</t>
        </is>
      </c>
      <c r="E80" s="6" t="inlineStr">
        <is>
          <t>Enhanced nature legacy fund to conserve land and inland waters</t>
        </is>
      </c>
      <c r="F80" s="17" t="n">
        <v>2300000000</v>
      </c>
      <c r="G80" s="8">
        <f>IFERROR(INDEX(Sub_Markets!$B$5:$B$77,MATCH(D80,Sub_Markets!$A$5:$A$77,0)),C80)</f>
        <v/>
      </c>
      <c r="H80" s="6" t="inlineStr">
        <is>
          <t>CAD</t>
        </is>
      </c>
      <c r="I80" s="8">
        <f>IF(C80=G80,"Yes","No")</f>
        <v/>
      </c>
      <c r="J80" s="17" t="n">
        <v>1656000000</v>
      </c>
      <c r="K80" s="6" t="inlineStr">
        <is>
          <t>Grant financing</t>
        </is>
      </c>
      <c r="L80" s="6" t="inlineStr">
        <is>
          <t>Restricted funds</t>
        </is>
      </c>
      <c r="M80" s="6" t="inlineStr">
        <is>
          <t xml:space="preserve">NBSAP </t>
        </is>
      </c>
    </row>
    <row r="81">
      <c r="A81" s="6" t="inlineStr">
        <is>
          <t>M160</t>
        </is>
      </c>
      <c r="B81" s="6" t="inlineStr">
        <is>
          <t>PRT</t>
        </is>
      </c>
      <c r="C81" s="6" t="inlineStr">
        <is>
          <t>DM02</t>
        </is>
      </c>
      <c r="D81" s="6" t="inlineStr">
        <is>
          <t>A03</t>
        </is>
      </c>
      <c r="E81" s="6" t="inlineStr">
        <is>
          <t>Lisbon drainage master plan including the construction of major drainage tunnels and flood infrastructure (supported by 140m in EIB loans)</t>
        </is>
      </c>
      <c r="F81" s="17" t="n">
        <v>250000000</v>
      </c>
      <c r="G81" s="8">
        <f>IFERROR(INDEX(Sub_Markets!$B$5:$B$77,MATCH(D81,Sub_Markets!$A$5:$A$77,0)),C81)</f>
        <v/>
      </c>
      <c r="H81" s="6" t="inlineStr">
        <is>
          <t>EUR</t>
        </is>
      </c>
      <c r="I81" s="8">
        <f>IF(C81=G81,"Yes","No")</f>
        <v/>
      </c>
      <c r="J81" s="17" t="n">
        <v>287500000</v>
      </c>
      <c r="K81" s="6" t="inlineStr">
        <is>
          <t>Debt financing</t>
        </is>
      </c>
      <c r="L81" s="6" t="inlineStr">
        <is>
          <t>Term debt</t>
        </is>
      </c>
      <c r="M81" s="6" t="inlineStr">
        <is>
          <t>Building flood resilience: The Lisbon Drainage Master Plan - Green Forum</t>
        </is>
      </c>
    </row>
    <row r="82">
      <c r="A82" s="6" t="inlineStr">
        <is>
          <t>M161</t>
        </is>
      </c>
      <c r="B82" s="6" t="inlineStr">
        <is>
          <t>PRT</t>
        </is>
      </c>
      <c r="C82" s="6" t="inlineStr">
        <is>
          <t>DM02</t>
        </is>
      </c>
      <c r="D82" s="6" t="inlineStr">
        <is>
          <t>A01</t>
        </is>
      </c>
      <c r="E82" s="6" t="inlineStr">
        <is>
          <t>Pro-rios national river restoration programme including 80 interventions covering 1000km of rivers to reduce flood risk, restoring ecosystems and improving climate resilience.</t>
        </is>
      </c>
      <c r="F82" s="17" t="n">
        <v>187000000</v>
      </c>
      <c r="G82" s="8">
        <f>IFERROR(INDEX(Sub_Markets!$B$5:$B$77,MATCH(D82,Sub_Markets!$A$5:$A$77,0)),C82)</f>
        <v/>
      </c>
      <c r="H82" s="6" t="inlineStr">
        <is>
          <t>EUR</t>
        </is>
      </c>
      <c r="I82" s="8">
        <f>IF(C82=G82,"Yes","No")</f>
        <v/>
      </c>
      <c r="J82" s="17" t="n">
        <v>215050000</v>
      </c>
      <c r="K82" s="6" t="inlineStr">
        <is>
          <t>Grant financing</t>
        </is>
      </c>
      <c r="L82" s="6" t="inlineStr">
        <is>
          <t>Restricted funds</t>
        </is>
      </c>
      <c r="M82" s="6" t="inlineStr">
        <is>
          <t>Pró-Rios: Governo investe 187 milhões de euros no restauro ecológico de rios e ribeiras - XXV Governo Constitucional</t>
        </is>
      </c>
    </row>
    <row r="83">
      <c r="A83" s="6" t="inlineStr">
        <is>
          <t>M162</t>
        </is>
      </c>
      <c r="B83" s="6" t="inlineStr">
        <is>
          <t>PRT</t>
        </is>
      </c>
      <c r="C83" s="6" t="inlineStr">
        <is>
          <t>DM01</t>
        </is>
      </c>
      <c r="D83" s="6" t="inlineStr">
        <is>
          <t>A06</t>
        </is>
      </c>
      <c r="E83" s="6" t="inlineStr">
        <is>
          <t>Rural fire prevention and operation system to expand vegetation clearance, emergency support for landowners, and reinforced firefighting capacity following storm damage</t>
        </is>
      </c>
      <c r="F83" s="17" t="n">
        <v>52000000</v>
      </c>
      <c r="G83" s="8">
        <f>IFERROR(INDEX(Sub_Markets!$B$5:$B$77,MATCH(D83,Sub_Markets!$A$5:$A$77,0)),C83)</f>
        <v/>
      </c>
      <c r="H83" s="6" t="inlineStr">
        <is>
          <t>EUR</t>
        </is>
      </c>
      <c r="I83" s="8">
        <f>IF(C83=G83,"Yes","No")</f>
        <v/>
      </c>
      <c r="J83" s="17" t="n">
        <v>59799999.99999999</v>
      </c>
      <c r="K83" s="6" t="inlineStr">
        <is>
          <t>Debt financing</t>
        </is>
      </c>
      <c r="L83" s="6" t="inlineStr">
        <is>
          <t>Term debt</t>
        </is>
      </c>
      <c r="M83" s="6" t="inlineStr">
        <is>
          <t>Government invests 52 million euros in strengthening fire prevention - XXIV Constitutional Government</t>
        </is>
      </c>
    </row>
    <row r="84">
      <c r="A84" s="6" t="inlineStr">
        <is>
          <t>M163</t>
        </is>
      </c>
      <c r="B84" s="6" t="inlineStr">
        <is>
          <t>ITA</t>
        </is>
      </c>
      <c r="C84" s="6" t="inlineStr">
        <is>
          <t>DM02</t>
        </is>
      </c>
      <c r="D84" s="6" t="inlineStr">
        <is>
          <t>A01</t>
        </is>
      </c>
      <c r="E84" s="6" t="inlineStr">
        <is>
          <t>Hydrogeological risk interventions to secure areas at hydrogeological risk including flood mitigation works, river restoration, repair of damaged infrastructure following major flood events.</t>
        </is>
      </c>
      <c r="F84" s="17" t="n">
        <v>1200000000</v>
      </c>
      <c r="G84" s="8">
        <f>IFERROR(INDEX(Sub_Markets!$B$5:$B$77,MATCH(D84,Sub_Markets!$A$5:$A$77,0)),C84)</f>
        <v/>
      </c>
      <c r="H84" s="6" t="inlineStr">
        <is>
          <t>EUR</t>
        </is>
      </c>
      <c r="I84" s="8">
        <f>IF(C84=G84,"Yes","No")</f>
        <v/>
      </c>
      <c r="J84" s="17" t="n">
        <v>1380000000</v>
      </c>
      <c r="K84" s="6" t="inlineStr">
        <is>
          <t>Debt financing</t>
        </is>
      </c>
      <c r="L84" s="6" t="inlineStr">
        <is>
          <t>Term debt</t>
        </is>
      </c>
      <c r="M84" s="6" t="inlineStr">
        <is>
          <t>Intervention to secure an area at hydrogeological risk - Reforms and Investments</t>
        </is>
      </c>
    </row>
    <row r="85">
      <c r="A85" s="6" t="inlineStr">
        <is>
          <t>M164</t>
        </is>
      </c>
      <c r="B85" s="6" t="inlineStr">
        <is>
          <t>ITA</t>
        </is>
      </c>
      <c r="C85" s="6" t="inlineStr">
        <is>
          <t>DM03</t>
        </is>
      </c>
      <c r="D85" s="6" t="inlineStr">
        <is>
          <t>A11</t>
        </is>
      </c>
      <c r="E85" s="6" t="inlineStr">
        <is>
          <t>Reduce seismic vulnerability in places of worship including protecting places of worship from damage from earthquakes, restore the Fund for Religious Buildings Heritage, make deposits to allocate to art works that have been involved by earthquakes.</t>
        </is>
      </c>
      <c r="F85" s="17" t="n">
        <v>800000000</v>
      </c>
      <c r="G85" s="8">
        <f>IFERROR(INDEX(Sub_Markets!$B$5:$B$77,MATCH(D85,Sub_Markets!$A$5:$A$77,0)),C85)</f>
        <v/>
      </c>
      <c r="H85" s="6" t="inlineStr">
        <is>
          <t>EUR</t>
        </is>
      </c>
      <c r="I85" s="8">
        <f>IF(C85=G85,"Yes","No")</f>
        <v/>
      </c>
      <c r="J85" s="17" t="n">
        <v>919999999.9999999</v>
      </c>
      <c r="K85" s="6" t="inlineStr">
        <is>
          <t>Debt financing</t>
        </is>
      </c>
      <c r="L85" s="6" t="inlineStr">
        <is>
          <t>Term debt</t>
        </is>
      </c>
      <c r="M85" s="6" t="inlineStr">
        <is>
          <t>Earthquake safety in places of worship, restoration of the cultural heritage of the Fund for Religious Buildings (FEC) and recovery of artistic sites (Art Recovery)</t>
        </is>
      </c>
    </row>
    <row r="86">
      <c r="A86" s="6" t="inlineStr">
        <is>
          <t>M165</t>
        </is>
      </c>
      <c r="B86" s="6" t="inlineStr">
        <is>
          <t>ITA</t>
        </is>
      </c>
      <c r="C86" s="6" t="inlineStr">
        <is>
          <t>DM03</t>
        </is>
      </c>
      <c r="D86" s="6" t="inlineStr">
        <is>
          <t>A11</t>
        </is>
      </c>
      <c r="E86" s="6" t="inlineStr">
        <is>
          <t>Improve structural safety from an anti-seismic perspective in 84 hospitals identified during an inspection conducted by the Ministry of Health.</t>
        </is>
      </c>
      <c r="F86" s="17" t="n">
        <v>889000000</v>
      </c>
      <c r="G86" s="8">
        <f>IFERROR(INDEX(Sub_Markets!$B$5:$B$77,MATCH(D86,Sub_Markets!$A$5:$A$77,0)),C86)</f>
        <v/>
      </c>
      <c r="H86" s="6" t="inlineStr">
        <is>
          <t>EUR</t>
        </is>
      </c>
      <c r="I86" s="8">
        <f>IF(C86=G86,"Yes","No")</f>
        <v/>
      </c>
      <c r="J86" s="17" t="n">
        <v>1022350000</v>
      </c>
      <c r="K86" s="6" t="inlineStr">
        <is>
          <t>Debt financing</t>
        </is>
      </c>
      <c r="L86" s="6" t="inlineStr">
        <is>
          <t>Term debt</t>
        </is>
      </c>
      <c r="M86" s="6" t="inlineStr">
        <is>
          <t>Towards new safe and sustainable hospitals - Italia Domani</t>
        </is>
      </c>
    </row>
    <row r="87">
      <c r="A87" s="6" t="inlineStr">
        <is>
          <t>M166</t>
        </is>
      </c>
      <c r="B87" s="6" t="inlineStr">
        <is>
          <t>ARE</t>
        </is>
      </c>
      <c r="C87" s="6" t="inlineStr">
        <is>
          <t>DM02</t>
        </is>
      </c>
      <c r="D87" s="6" t="inlineStr">
        <is>
          <t>A03</t>
        </is>
      </c>
      <c r="E87" s="6" t="inlineStr">
        <is>
          <t>Long term flood resilience investment, expanding rainwater drainage capacity by 700%, designed to handle extreme rainfalle vents for the next 100 years, including 36km of major tunnels and pipelines, covering all districts of Dubai.</t>
        </is>
      </c>
      <c r="F87" s="17" t="n">
        <v>30000000000</v>
      </c>
      <c r="G87" s="8">
        <f>IFERROR(INDEX(Sub_Markets!$B$5:$B$77,MATCH(D87,Sub_Markets!$A$5:$A$77,0)),C87)</f>
        <v/>
      </c>
      <c r="H87" s="6" t="inlineStr">
        <is>
          <t>AED</t>
        </is>
      </c>
      <c r="I87" s="8">
        <f>IF(C87=G87,"Yes","No")</f>
        <v/>
      </c>
      <c r="J87" s="17" t="n">
        <v>8100000000.000001</v>
      </c>
      <c r="K87" s="6" t="inlineStr">
        <is>
          <t>Debt financing</t>
        </is>
      </c>
      <c r="L87" s="6" t="inlineStr">
        <is>
          <t>Term debt</t>
        </is>
      </c>
      <c r="M87" s="6" t="inlineStr">
        <is>
          <t>Dubai 2040 | Mohammed bin Rashid approves AED30 billion 'Tasreef' project</t>
        </is>
      </c>
    </row>
    <row r="88">
      <c r="A88" s="6" t="inlineStr">
        <is>
          <t>M167</t>
        </is>
      </c>
      <c r="B88" s="6" t="inlineStr">
        <is>
          <t>GBR</t>
        </is>
      </c>
      <c r="C88" s="6" t="inlineStr">
        <is>
          <t>P02</t>
        </is>
      </c>
      <c r="D88" s="6" t="inlineStr">
        <is>
          <t>PL4</t>
        </is>
      </c>
      <c r="E88" s="6" t="inlineStr">
        <is>
          <t>Waste reforms, which include an overhaul of collection and packaging regimes, to generate investment in the circular economy</t>
        </is>
      </c>
      <c r="F88" s="17" t="n">
        <v>10000000000</v>
      </c>
      <c r="G88" s="8">
        <f>IFERROR(INDEX(Sub_Markets!$B$5:$B$77,MATCH(D88,Sub_Markets!$A$5:$A$77,0)),C88)</f>
        <v/>
      </c>
      <c r="H88" s="6" t="inlineStr">
        <is>
          <t>GBP</t>
        </is>
      </c>
      <c r="I88" s="8">
        <f>IF(C88=G88,"Yes","No")</f>
        <v/>
      </c>
      <c r="J88" s="17" t="n">
        <v>13200000000</v>
      </c>
      <c r="K88" s="6" t="inlineStr">
        <is>
          <t>Debt financing</t>
        </is>
      </c>
      <c r="L88" s="6" t="inlineStr">
        <is>
          <t>Term debt</t>
        </is>
      </c>
      <c r="M88" s="6" t="inlineStr">
        <is>
          <t>NBSAP</t>
        </is>
      </c>
    </row>
    <row r="89">
      <c r="A89" s="6" t="inlineStr">
        <is>
          <t>M168</t>
        </is>
      </c>
      <c r="B89" s="6" t="inlineStr">
        <is>
          <t>GBR</t>
        </is>
      </c>
      <c r="C89" s="6" t="inlineStr">
        <is>
          <t>P01</t>
        </is>
      </c>
      <c r="D89" s="6" t="inlineStr">
        <is>
          <t>PL1</t>
        </is>
      </c>
      <c r="E89" s="6" t="inlineStr">
        <is>
          <t>The Smart Sustainable Plastic Packaging Challenge (SSPP) contributed to the UK’s drive for clean growth and industrial decarbonisation by funding ground-breaking research and innovation to make plastic packaging fit for a sustainable future.</t>
        </is>
      </c>
      <c r="F89" s="17" t="n">
        <v>220000000</v>
      </c>
      <c r="G89" s="8">
        <f>IFERROR(INDEX(Sub_Markets!$B$5:$B$77,MATCH(D89,Sub_Markets!$A$5:$A$77,0)),C89)</f>
        <v/>
      </c>
      <c r="H89" s="6" t="inlineStr">
        <is>
          <t>GBP</t>
        </is>
      </c>
      <c r="I89" s="8">
        <f>IF(C89=G89,"Yes","No")</f>
        <v/>
      </c>
      <c r="J89" s="17" t="n">
        <v>290400000</v>
      </c>
      <c r="K89" s="6" t="inlineStr">
        <is>
          <t>Debt financing</t>
        </is>
      </c>
      <c r="L89" s="6" t="inlineStr">
        <is>
          <t>Term debt</t>
        </is>
      </c>
      <c r="M89" s="6" t="inlineStr">
        <is>
          <t>https://www.ukri.org/what-we-do/browse-our-areas-of-investment-and-support/smart-sustainable-plastic-packaging/</t>
        </is>
      </c>
    </row>
    <row r="90">
      <c r="A90" s="6" t="inlineStr">
        <is>
          <t>M169</t>
        </is>
      </c>
      <c r="B90" s="6" t="inlineStr">
        <is>
          <t>GBR</t>
        </is>
      </c>
      <c r="C90" s="6" t="inlineStr">
        <is>
          <t>P03</t>
        </is>
      </c>
      <c r="D90" s="6" t="inlineStr">
        <is>
          <t>PL11</t>
        </is>
      </c>
      <c r="E90" s="6" t="inlineStr">
        <is>
          <t>Fund the UK Shipping Office for Reducing Emissions (UK SHORE) programme by providing research and development funding to accelerate technologies necessary to addressing air quality impacts and supporting coastal communities and green growth.</t>
        </is>
      </c>
      <c r="F90" s="17" t="n">
        <v>448000000</v>
      </c>
      <c r="G90" s="8">
        <f>IFERROR(INDEX(Sub_Markets!$B$5:$B$77,MATCH(D90,Sub_Markets!$A$5:$A$77,0)),C90)</f>
        <v/>
      </c>
      <c r="H90" s="6" t="inlineStr">
        <is>
          <t>GBP</t>
        </is>
      </c>
      <c r="I90" s="8">
        <f>IF(C90=G90,"Yes","No")</f>
        <v/>
      </c>
      <c r="J90" s="17" t="n">
        <v>591360000</v>
      </c>
      <c r="K90" s="6" t="inlineStr">
        <is>
          <t>Grant financing</t>
        </is>
      </c>
      <c r="L90" s="6" t="inlineStr">
        <is>
          <t>Restricted funds</t>
        </is>
      </c>
      <c r="M90" s="6" t="inlineStr">
        <is>
          <t>NBSAP</t>
        </is>
      </c>
    </row>
    <row r="91">
      <c r="A91" s="6" t="inlineStr">
        <is>
          <t>M17</t>
        </is>
      </c>
      <c r="B91" s="6" t="inlineStr">
        <is>
          <t>CAN</t>
        </is>
      </c>
      <c r="C91" s="6" t="inlineStr">
        <is>
          <t>W02</t>
        </is>
      </c>
      <c r="D91" s="6" t="inlineStr">
        <is>
          <t>WU12</t>
        </is>
      </c>
      <c r="E91" s="6" t="inlineStr">
        <is>
          <t>Marine Conservation Fund to protect marine areas</t>
        </is>
      </c>
      <c r="F91" s="17" t="n">
        <v>976800000</v>
      </c>
      <c r="G91" s="8">
        <f>IFERROR(INDEX(Sub_Markets!$B$5:$B$77,MATCH(D91,Sub_Markets!$A$5:$A$77,0)),C91)</f>
        <v/>
      </c>
      <c r="H91" s="6" t="inlineStr">
        <is>
          <t>CAD</t>
        </is>
      </c>
      <c r="I91" s="8">
        <f>IF(C91=G91,"Yes","No")</f>
        <v/>
      </c>
      <c r="J91" s="17" t="n">
        <v>703296000</v>
      </c>
      <c r="K91" s="6" t="inlineStr">
        <is>
          <t>Grant financing</t>
        </is>
      </c>
      <c r="L91" s="6" t="inlineStr">
        <is>
          <t>Restricted funds</t>
        </is>
      </c>
      <c r="M91" s="6" t="inlineStr">
        <is>
          <t xml:space="preserve">NBSAP </t>
        </is>
      </c>
    </row>
    <row r="92">
      <c r="A92" s="6" t="inlineStr">
        <is>
          <t>M170</t>
        </is>
      </c>
      <c r="B92" s="6" t="inlineStr">
        <is>
          <t>GBR</t>
        </is>
      </c>
      <c r="C92" s="6" t="inlineStr">
        <is>
          <t>P03</t>
        </is>
      </c>
      <c r="D92" s="6" t="inlineStr">
        <is>
          <t>PL8</t>
        </is>
      </c>
      <c r="E92" s="6" t="inlineStr">
        <is>
          <t>Our maintenance programme, including track improvements and continual rail grinding to remove defects on the rail surface, helps to reduce noise and vibration.</t>
        </is>
      </c>
      <c r="F92" s="17" t="n">
        <v>150000000</v>
      </c>
      <c r="G92" s="8">
        <f>IFERROR(INDEX(Sub_Markets!$B$5:$B$77,MATCH(D92,Sub_Markets!$A$5:$A$77,0)),C92)</f>
        <v/>
      </c>
      <c r="H92" s="6" t="inlineStr">
        <is>
          <t>GBP</t>
        </is>
      </c>
      <c r="I92" s="8">
        <f>IF(C92=G92,"Yes","No")</f>
        <v/>
      </c>
      <c r="J92" s="17" t="n">
        <v>198000000</v>
      </c>
      <c r="K92" s="6" t="inlineStr">
        <is>
          <t>Debt financing</t>
        </is>
      </c>
      <c r="L92" s="6" t="inlineStr">
        <is>
          <t>Term debt</t>
        </is>
      </c>
      <c r="M92" s="6" t="inlineStr">
        <is>
          <t>Reducing noise &amp; vibration - Transport for London</t>
        </is>
      </c>
    </row>
    <row r="93">
      <c r="A93" s="6" t="inlineStr">
        <is>
          <t>M171</t>
        </is>
      </c>
      <c r="B93" s="6" t="inlineStr">
        <is>
          <t>CAN</t>
        </is>
      </c>
      <c r="C93" s="6" t="inlineStr">
        <is>
          <t>P01</t>
        </is>
      </c>
      <c r="D93" s="6" t="inlineStr">
        <is>
          <t>PL1</t>
        </is>
      </c>
      <c r="E93" s="6" t="inlineStr">
        <is>
          <t>Innovations to reduce plastic by SMEs via Canadian Plastics Innovation Challenges</t>
        </is>
      </c>
      <c r="F93" s="17" t="n">
        <v>25000000</v>
      </c>
      <c r="G93" s="8">
        <f>IFERROR(INDEX(Sub_Markets!$B$5:$B$77,MATCH(D93,Sub_Markets!$A$5:$A$77,0)),C93)</f>
        <v/>
      </c>
      <c r="H93" s="6" t="inlineStr">
        <is>
          <t>CAD</t>
        </is>
      </c>
      <c r="I93" s="8">
        <f>IF(C93=G93,"Yes","No")</f>
        <v/>
      </c>
      <c r="J93" s="17" t="n">
        <v>18000000</v>
      </c>
      <c r="K93" s="6" t="inlineStr">
        <is>
          <t>Grant financing</t>
        </is>
      </c>
      <c r="L93" s="6" t="inlineStr">
        <is>
          <t>Restricted funds</t>
        </is>
      </c>
      <c r="M93" s="6" t="inlineStr">
        <is>
          <t>Government of Canada invests to support Canadian innovators to find ways to reduce plastic pollution - Canada.ca</t>
        </is>
      </c>
    </row>
    <row r="94">
      <c r="A94" s="6" t="inlineStr">
        <is>
          <t>M172</t>
        </is>
      </c>
      <c r="B94" s="6" t="inlineStr">
        <is>
          <t>CAN</t>
        </is>
      </c>
      <c r="C94" s="6" t="inlineStr">
        <is>
          <t>P02</t>
        </is>
      </c>
      <c r="D94" s="6" t="inlineStr">
        <is>
          <t>PL4</t>
        </is>
      </c>
      <c r="E94" s="6" t="inlineStr">
        <is>
          <t>Prize funding for delivering novel solutions to reduce food loss and waste across the supply chain.</t>
        </is>
      </c>
      <c r="F94" s="17" t="n">
        <v>20000000</v>
      </c>
      <c r="G94" s="8">
        <f>IFERROR(INDEX(Sub_Markets!$B$5:$B$77,MATCH(D94,Sub_Markets!$A$5:$A$77,0)),C94)</f>
        <v/>
      </c>
      <c r="H94" s="6" t="inlineStr">
        <is>
          <t>CAD</t>
        </is>
      </c>
      <c r="I94" s="8">
        <f>IF(C94=G94,"Yes","No")</f>
        <v/>
      </c>
      <c r="J94" s="17" t="n">
        <v>14400000</v>
      </c>
      <c r="K94" s="6" t="inlineStr">
        <is>
          <t>Grant financing</t>
        </is>
      </c>
      <c r="L94" s="6" t="inlineStr">
        <is>
          <t>Restricted funds</t>
        </is>
      </c>
      <c r="M94" s="6" t="inlineStr">
        <is>
          <t>NBSAP</t>
        </is>
      </c>
    </row>
    <row r="95">
      <c r="A95" s="6" t="inlineStr">
        <is>
          <t>M173</t>
        </is>
      </c>
      <c r="B95" s="6" t="inlineStr">
        <is>
          <t>FRA</t>
        </is>
      </c>
      <c r="C95" s="6" t="inlineStr">
        <is>
          <t>P02</t>
        </is>
      </c>
      <c r="D95" s="6" t="inlineStr">
        <is>
          <t>PL4</t>
        </is>
      </c>
      <c r="E95" s="6" t="inlineStr">
        <is>
          <t>Circular Economy Fund supporting the implementation of the waste and circular economy policy in France.</t>
        </is>
      </c>
      <c r="F95" s="17" t="n">
        <v>400000000</v>
      </c>
      <c r="G95" s="8">
        <f>IFERROR(INDEX(Sub_Markets!$B$5:$B$77,MATCH(D95,Sub_Markets!$A$5:$A$77,0)),C95)</f>
        <v/>
      </c>
      <c r="H95" s="6" t="inlineStr">
        <is>
          <t>EUR</t>
        </is>
      </c>
      <c r="I95" s="8">
        <f>IF(C95=G95,"Yes","No")</f>
        <v/>
      </c>
      <c r="J95" s="17" t="n">
        <v>459999999.9999999</v>
      </c>
      <c r="K95" s="6" t="inlineStr">
        <is>
          <t>Grant financing</t>
        </is>
      </c>
      <c r="L95" s="6" t="inlineStr">
        <is>
          <t>Restricted funds</t>
        </is>
      </c>
      <c r="M95" s="6" t="inlineStr">
        <is>
          <t>Funding - ADEME</t>
        </is>
      </c>
    </row>
    <row r="96">
      <c r="A96" s="6" t="inlineStr">
        <is>
          <t>M174</t>
        </is>
      </c>
      <c r="B96" s="6" t="inlineStr">
        <is>
          <t>FRA</t>
        </is>
      </c>
      <c r="C96" s="6" t="inlineStr">
        <is>
          <t>P02</t>
        </is>
      </c>
      <c r="D96" s="6" t="inlineStr">
        <is>
          <t>PL5</t>
        </is>
      </c>
      <c r="E96" s="6" t="inlineStr">
        <is>
          <t>Investment scheme to support chemical recycling of plastic waste</t>
        </is>
      </c>
      <c r="F96" s="17" t="n">
        <v>500000000</v>
      </c>
      <c r="G96" s="8">
        <f>IFERROR(INDEX(Sub_Markets!$B$5:$B$77,MATCH(D96,Sub_Markets!$A$5:$A$77,0)),C96)</f>
        <v/>
      </c>
      <c r="H96" s="6" t="inlineStr">
        <is>
          <t>EUR</t>
        </is>
      </c>
      <c r="I96" s="8">
        <f>IF(C96=G96,"Yes","No")</f>
        <v/>
      </c>
      <c r="J96" s="17" t="n">
        <v>575000000</v>
      </c>
      <c r="K96" s="6" t="inlineStr">
        <is>
          <t>Grant financing</t>
        </is>
      </c>
      <c r="L96" s="6" t="inlineStr">
        <is>
          <t>Restricted funds</t>
        </is>
      </c>
      <c r="M96" s="6" t="inlineStr">
        <is>
          <t>IP_25_387_EN.pdf</t>
        </is>
      </c>
    </row>
    <row r="97">
      <c r="A97" s="6" t="inlineStr">
        <is>
          <t>M175</t>
        </is>
      </c>
      <c r="B97" s="6" t="inlineStr">
        <is>
          <t>FRA</t>
        </is>
      </c>
      <c r="C97" s="6" t="inlineStr">
        <is>
          <t>P01</t>
        </is>
      </c>
      <c r="D97" s="6" t="inlineStr">
        <is>
          <t>PL2</t>
        </is>
      </c>
      <c r="E97" s="6" t="inlineStr">
        <is>
          <t>Lactips, a French company specializing in biodegradable polymers, has raised funding supported by the SPI fund, managed by Bpifrance for the French government as part of France 2030</t>
        </is>
      </c>
      <c r="F97" s="17" t="n">
        <v>16000000</v>
      </c>
      <c r="G97" s="8">
        <f>IFERROR(INDEX(Sub_Markets!$B$5:$B$77,MATCH(D97,Sub_Markets!$A$5:$A$77,0)),C97)</f>
        <v/>
      </c>
      <c r="H97" s="6" t="inlineStr">
        <is>
          <t>EUR</t>
        </is>
      </c>
      <c r="I97" s="8">
        <f>IF(C97=G97,"Yes","No")</f>
        <v/>
      </c>
      <c r="J97" s="17" t="n">
        <v>18400000</v>
      </c>
      <c r="K97" s="6" t="inlineStr">
        <is>
          <t>Equity and debt finance</t>
        </is>
      </c>
      <c r="L97" s="6" t="inlineStr">
        <is>
          <t>Private equity</t>
        </is>
      </c>
      <c r="M97" s="6" t="inlineStr">
        <is>
          <t>Lactips Raises €16M for Global Expansion of Biodegradable Polymer</t>
        </is>
      </c>
    </row>
    <row r="98">
      <c r="A98" s="6" t="inlineStr">
        <is>
          <t>M176</t>
        </is>
      </c>
      <c r="B98" s="6" t="inlineStr">
        <is>
          <t>ESP</t>
        </is>
      </c>
      <c r="C98" s="6" t="inlineStr">
        <is>
          <t>P02</t>
        </is>
      </c>
      <c r="D98" s="6" t="inlineStr">
        <is>
          <t>PL4</t>
        </is>
      </c>
      <c r="E98" s="6" t="inlineStr">
        <is>
          <t>Second Circular Economy Action Plan with 105 measures structured around production, consumption, waste, secondary raw materials and water reuse and purification.</t>
        </is>
      </c>
      <c r="F98" s="17" t="n">
        <v>1884890000</v>
      </c>
      <c r="G98" s="8">
        <f>IFERROR(INDEX(Sub_Markets!$B$5:$B$77,MATCH(D98,Sub_Markets!$A$5:$A$77,0)),C98)</f>
        <v/>
      </c>
      <c r="H98" s="6" t="inlineStr">
        <is>
          <t>EUR</t>
        </is>
      </c>
      <c r="I98" s="8">
        <f>IF(C98=G98,"Yes","No")</f>
        <v/>
      </c>
      <c r="J98" s="17" t="n">
        <v>2167623500</v>
      </c>
      <c r="K98" s="6" t="inlineStr">
        <is>
          <t>Grant financing</t>
        </is>
      </c>
      <c r="L98" s="6" t="inlineStr">
        <is>
          <t>Restricted funds</t>
        </is>
      </c>
      <c r="M98" s="6" t="inlineStr">
        <is>
          <t>Circular Econnomy Action Plan 2026-2030</t>
        </is>
      </c>
    </row>
    <row r="99">
      <c r="A99" s="6" t="inlineStr">
        <is>
          <t>M177</t>
        </is>
      </c>
      <c r="B99" s="6" t="inlineStr">
        <is>
          <t>ESP</t>
        </is>
      </c>
      <c r="C99" s="6" t="inlineStr">
        <is>
          <t>P01</t>
        </is>
      </c>
      <c r="D99" s="6" t="inlineStr">
        <is>
          <t>PL1</t>
        </is>
      </c>
      <c r="E99" s="6" t="inlineStr">
        <is>
          <t>EIB and PackBenefit have signed a €13m venture debt agreement to finance a new production plant, as well as research and development projects for sustainable food packaging solutions.</t>
        </is>
      </c>
      <c r="F99" s="17" t="n">
        <v>13000000</v>
      </c>
      <c r="G99" s="8">
        <f>IFERROR(INDEX(Sub_Markets!$B$5:$B$77,MATCH(D99,Sub_Markets!$A$5:$A$77,0)),C99)</f>
        <v/>
      </c>
      <c r="H99" s="6" t="inlineStr">
        <is>
          <t>EUR</t>
        </is>
      </c>
      <c r="I99" s="8">
        <f>IF(C99=G99,"Yes","No")</f>
        <v/>
      </c>
      <c r="J99" s="17" t="n">
        <v>14950000</v>
      </c>
      <c r="K99" s="6" t="inlineStr">
        <is>
          <t>Equity financing</t>
        </is>
      </c>
      <c r="L99" s="6" t="inlineStr">
        <is>
          <t>Venture capital</t>
        </is>
      </c>
      <c r="M99" s="6" t="inlineStr">
        <is>
          <t>Spain: EIB agrees venture debt financing with PackBenefit to accelerate rollout of leading sustainable food packaging technology</t>
        </is>
      </c>
    </row>
    <row r="100">
      <c r="A100" s="6" t="inlineStr">
        <is>
          <t>M178</t>
        </is>
      </c>
      <c r="B100" s="6" t="inlineStr">
        <is>
          <t>ESP</t>
        </is>
      </c>
      <c r="C100" s="6" t="inlineStr">
        <is>
          <t>P01</t>
        </is>
      </c>
      <c r="D100" s="6" t="inlineStr">
        <is>
          <t>PL2</t>
        </is>
      </c>
      <c r="E100" s="6" t="inlineStr">
        <is>
          <t>Funded by €8.5m from the Horizon Europe programme, the Be-UP project aims to develop pioneering methods for the synthesis and industrial processing (extrusion, injection moulding, and thermoforming) of biodegradable packaging obtained from bio-based materials.</t>
        </is>
      </c>
      <c r="F100" s="17" t="n">
        <v>8500000</v>
      </c>
      <c r="G100" s="8">
        <f>IFERROR(INDEX(Sub_Markets!$B$5:$B$77,MATCH(D100,Sub_Markets!$A$5:$A$77,0)),C100)</f>
        <v/>
      </c>
      <c r="H100" s="6" t="inlineStr">
        <is>
          <t>EUR</t>
        </is>
      </c>
      <c r="I100" s="8">
        <f>IF(C100=G100,"Yes","No")</f>
        <v/>
      </c>
      <c r="J100" s="17" t="n">
        <v>9775000</v>
      </c>
      <c r="K100" s="6" t="inlineStr">
        <is>
          <t>Equity financing</t>
        </is>
      </c>
      <c r="L100" s="6" t="inlineStr">
        <is>
          <t>Venture capital</t>
        </is>
      </c>
      <c r="M100" s="6" t="inlineStr">
        <is>
          <t>Biodegradable packaging for a sustainable Europe</t>
        </is>
      </c>
    </row>
    <row r="101">
      <c r="A101" s="6" t="inlineStr">
        <is>
          <t>M179</t>
        </is>
      </c>
      <c r="B101" s="6" t="inlineStr">
        <is>
          <t>ESP</t>
        </is>
      </c>
      <c r="C101" s="6" t="inlineStr">
        <is>
          <t>P03</t>
        </is>
      </c>
      <c r="D101" s="6" t="inlineStr">
        <is>
          <t>PL8</t>
        </is>
      </c>
      <c r="E101" s="6" t="inlineStr">
        <is>
          <t>Spanish Government Allocates 13.1 Million Euros to Combat Noise Pollution Near Marbella. The primary objective is to decrease noise levels by installing 28 sound-proofing screens.</t>
        </is>
      </c>
      <c r="F101" s="17" t="n">
        <v>13100000</v>
      </c>
      <c r="G101" s="8">
        <f>IFERROR(INDEX(Sub_Markets!$B$5:$B$77,MATCH(D101,Sub_Markets!$A$5:$A$77,0)),C101)</f>
        <v/>
      </c>
      <c r="H101" s="6" t="inlineStr">
        <is>
          <t>EUR</t>
        </is>
      </c>
      <c r="I101" s="8">
        <f>IF(C101=G101,"Yes","No")</f>
        <v/>
      </c>
      <c r="J101" s="17" t="n">
        <v>15065000</v>
      </c>
      <c r="K101" s="6" t="inlineStr">
        <is>
          <t>Debt financing</t>
        </is>
      </c>
      <c r="L101" s="6" t="inlineStr">
        <is>
          <t>Term debt</t>
        </is>
      </c>
      <c r="M101" s="6" t="inlineStr">
        <is>
          <t>Unveiling a 13-Million-Euro Solution to Noise Pollution on Costa del Sol’s Iconic AP-7 Motor – Latest Marbella News</t>
        </is>
      </c>
    </row>
    <row r="102">
      <c r="A102" s="6" t="inlineStr">
        <is>
          <t>M18</t>
        </is>
      </c>
      <c r="B102" s="6" t="inlineStr">
        <is>
          <t>CAN</t>
        </is>
      </c>
      <c r="C102" s="6" t="inlineStr">
        <is>
          <t>W02</t>
        </is>
      </c>
      <c r="D102" s="6" t="inlineStr">
        <is>
          <t>WU12</t>
        </is>
      </c>
      <c r="E102" s="6" t="inlineStr">
        <is>
          <t>Funding over five years to expand marine protected and conserved areas, including establishing new 
sites and advancing agreements with Indigenous partners to support conservation and reconciliation.</t>
        </is>
      </c>
      <c r="F102" s="17" t="n">
        <v>444300000</v>
      </c>
      <c r="G102" s="8">
        <f>IFERROR(INDEX(Sub_Markets!$B$5:$B$77,MATCH(D102,Sub_Markets!$A$5:$A$77,0)),C102)</f>
        <v/>
      </c>
      <c r="H102" s="6" t="inlineStr">
        <is>
          <t>CAD</t>
        </is>
      </c>
      <c r="I102" s="8">
        <f>IF(C102=G102,"Yes","No")</f>
        <v/>
      </c>
      <c r="J102" s="17" t="n">
        <v>319896000</v>
      </c>
      <c r="K102" s="6" t="inlineStr">
        <is>
          <t>Grant financing</t>
        </is>
      </c>
      <c r="L102" s="6" t="inlineStr">
        <is>
          <t>Restricted funds</t>
        </is>
      </c>
      <c r="M102" s="6" t="inlineStr">
        <is>
          <t xml:space="preserve"> A Force of Nature: Canada’s Strategy to Protect Nature</t>
        </is>
      </c>
    </row>
    <row r="103">
      <c r="A103" s="6" t="inlineStr">
        <is>
          <t>M180</t>
        </is>
      </c>
      <c r="B103" s="6" t="inlineStr">
        <is>
          <t>IRL</t>
        </is>
      </c>
      <c r="C103" s="6" t="inlineStr">
        <is>
          <t>P02</t>
        </is>
      </c>
      <c r="D103" s="6" t="inlineStr">
        <is>
          <t>PL4</t>
        </is>
      </c>
      <c r="E103" s="6" t="inlineStr">
        <is>
          <t>Funding from the Circular Economy Fund to support a wide range of initiatives aimed at advancing Ireland’s transition to a circular economy.</t>
        </is>
      </c>
      <c r="F103" s="17" t="n">
        <v>27000000</v>
      </c>
      <c r="G103" s="8">
        <f>IFERROR(INDEX(Sub_Markets!$B$5:$B$77,MATCH(D103,Sub_Markets!$A$5:$A$77,0)),C103)</f>
        <v/>
      </c>
      <c r="H103" s="6" t="inlineStr">
        <is>
          <t>EUR</t>
        </is>
      </c>
      <c r="I103" s="8">
        <f>IF(C103=G103,"Yes","No")</f>
        <v/>
      </c>
      <c r="J103" s="17" t="n">
        <v>31050000</v>
      </c>
      <c r="K103" s="6" t="inlineStr">
        <is>
          <t>Grant financing</t>
        </is>
      </c>
      <c r="L103" s="6" t="inlineStr">
        <is>
          <t>Restricted funds</t>
        </is>
      </c>
      <c r="M103" s="6" t="inlineStr">
        <is>
          <t>€27 million to accelerate Ireland’s circular economy transition - Grants and Funding</t>
        </is>
      </c>
    </row>
    <row r="104">
      <c r="A104" s="6" t="inlineStr">
        <is>
          <t>M181</t>
        </is>
      </c>
      <c r="B104" s="6" t="inlineStr">
        <is>
          <t>IRL</t>
        </is>
      </c>
      <c r="C104" s="6" t="inlineStr">
        <is>
          <t>P02</t>
        </is>
      </c>
      <c r="D104" s="6" t="inlineStr">
        <is>
          <t>PL4</t>
        </is>
      </c>
      <c r="E104" s="6" t="inlineStr">
        <is>
          <t>The Office of Government Procurement (OGP) launched a new framework in 2024 that allows public bodies to purchase remanufactured laptops. The contract fully supports the circular economy objectives set out in the Green Public Procurement Strategy and Action Plan 2024- 2027</t>
        </is>
      </c>
      <c r="F104" s="17" t="n">
        <v>30000000</v>
      </c>
      <c r="G104" s="8">
        <f>IFERROR(INDEX(Sub_Markets!$B$5:$B$77,MATCH(D104,Sub_Markets!$A$5:$A$77,0)),C104)</f>
        <v/>
      </c>
      <c r="H104" s="6" t="inlineStr">
        <is>
          <t>EUR</t>
        </is>
      </c>
      <c r="I104" s="8">
        <f>IF(C104=G104,"Yes","No")</f>
        <v/>
      </c>
      <c r="J104" s="17" t="n">
        <v>34500000</v>
      </c>
      <c r="K104" s="6" t="inlineStr">
        <is>
          <t>Grant financing</t>
        </is>
      </c>
      <c r="L104" s="6" t="inlineStr">
        <is>
          <t>Restricted funds</t>
        </is>
      </c>
      <c r="M104" s="6" t="inlineStr">
        <is>
          <t>Whole_of_Government_Circular_Economy_Strategy_2026-2028_-_Public_Consultation.pdf</t>
        </is>
      </c>
    </row>
    <row r="105">
      <c r="A105" s="6" t="inlineStr">
        <is>
          <t>M182</t>
        </is>
      </c>
      <c r="B105" s="6" t="inlineStr">
        <is>
          <t>IRL</t>
        </is>
      </c>
      <c r="C105" s="6" t="inlineStr">
        <is>
          <t>P03</t>
        </is>
      </c>
      <c r="D105" s="6" t="inlineStr">
        <is>
          <t>PL11</t>
        </is>
      </c>
      <c r="E105" s="6" t="inlineStr">
        <is>
          <t>A cross-border partnership aimed at improving air quality across the island of Ireland has been awarded €6.5 million in funding through the PEACEPLUS programme.</t>
        </is>
      </c>
      <c r="F105" s="17" t="n">
        <v>6500000</v>
      </c>
      <c r="G105" s="8">
        <f>IFERROR(INDEX(Sub_Markets!$B$5:$B$77,MATCH(D105,Sub_Markets!$A$5:$A$77,0)),C105)</f>
        <v/>
      </c>
      <c r="H105" s="6" t="inlineStr">
        <is>
          <t>EUR</t>
        </is>
      </c>
      <c r="I105" s="8">
        <f>IF(C105=G105,"Yes","No")</f>
        <v/>
      </c>
      <c r="J105" s="17" t="n">
        <v>7474999.999999999</v>
      </c>
      <c r="K105" s="6" t="inlineStr">
        <is>
          <t>Grant financing</t>
        </is>
      </c>
      <c r="L105" s="6" t="inlineStr">
        <is>
          <t>Restricted funds</t>
        </is>
      </c>
      <c r="M105" s="6" t="inlineStr">
        <is>
          <t>€6.5m grant to fund cross-border air quality project in Ireland - AirQualityNews</t>
        </is>
      </c>
    </row>
    <row r="106">
      <c r="A106" s="6" t="inlineStr">
        <is>
          <t>M183</t>
        </is>
      </c>
      <c r="B106" s="6" t="inlineStr">
        <is>
          <t>IRL</t>
        </is>
      </c>
      <c r="C106" s="6" t="inlineStr">
        <is>
          <t>P03</t>
        </is>
      </c>
      <c r="D106" s="6" t="inlineStr">
        <is>
          <t>PL9</t>
        </is>
      </c>
      <c r="E106" s="6" t="inlineStr">
        <is>
          <t>Dublin Airport (daa) has committed over €18 million to noise‑reduction measures for nearby communitie</t>
        </is>
      </c>
      <c r="F106" s="17" t="n">
        <v>18000000</v>
      </c>
      <c r="G106" s="8">
        <f>IFERROR(INDEX(Sub_Markets!$B$5:$B$77,MATCH(D106,Sub_Markets!$A$5:$A$77,0)),C106)</f>
        <v/>
      </c>
      <c r="H106" s="6" t="inlineStr">
        <is>
          <t>EUR</t>
        </is>
      </c>
      <c r="I106" s="8">
        <f>IF(C106=G106,"Yes","No")</f>
        <v/>
      </c>
      <c r="J106" s="17" t="n">
        <v>20700000</v>
      </c>
      <c r="K106" s="6" t="inlineStr">
        <is>
          <t>Debt financing</t>
        </is>
      </c>
      <c r="L106" s="6" t="inlineStr">
        <is>
          <t>Term debt</t>
        </is>
      </c>
      <c r="M106" s="6" t="inlineStr">
        <is>
          <t>Daa spends €18m on buying out homes, noise insulation</t>
        </is>
      </c>
    </row>
    <row r="107">
      <c r="A107" s="6" t="inlineStr">
        <is>
          <t>M184</t>
        </is>
      </c>
      <c r="B107" s="6" t="inlineStr">
        <is>
          <t>PRT</t>
        </is>
      </c>
      <c r="C107" s="6" t="inlineStr">
        <is>
          <t>P02</t>
        </is>
      </c>
      <c r="D107" s="6" t="inlineStr">
        <is>
          <t>PL4</t>
        </is>
      </c>
      <c r="E107" s="6" t="inlineStr">
        <is>
          <t>Boosting the circular economy and carbon neutrality: investment promotes the recovery of waste, reduces landfill and contributes to meeting the goals of PERSU 2030 and the European Union.</t>
        </is>
      </c>
      <c r="F107" s="17" t="n">
        <v>30000000</v>
      </c>
      <c r="G107" s="8">
        <f>IFERROR(INDEX(Sub_Markets!$B$5:$B$77,MATCH(D107,Sub_Markets!$A$5:$A$77,0)),C107)</f>
        <v/>
      </c>
      <c r="H107" s="6" t="inlineStr">
        <is>
          <t>EUR</t>
        </is>
      </c>
      <c r="I107" s="8">
        <f>IF(C107=G107,"Yes","No")</f>
        <v/>
      </c>
      <c r="J107" s="17" t="n">
        <v>34500000</v>
      </c>
      <c r="K107" s="6" t="inlineStr">
        <is>
          <t>Grant financing</t>
        </is>
      </c>
      <c r="L107" s="6" t="inlineStr">
        <is>
          <t>Restricted funds</t>
        </is>
      </c>
      <c r="M107" s="6" t="inlineStr">
        <is>
          <t>30 million euros to strengthen recycling and waste recovery - XXV Constitutional Government</t>
        </is>
      </c>
    </row>
    <row r="108">
      <c r="A108" s="6" t="inlineStr">
        <is>
          <t>M185</t>
        </is>
      </c>
      <c r="B108" s="6" t="inlineStr">
        <is>
          <t>PRT</t>
        </is>
      </c>
      <c r="C108" s="6" t="inlineStr">
        <is>
          <t>P03</t>
        </is>
      </c>
      <c r="D108" s="6" t="inlineStr">
        <is>
          <t>PL8</t>
        </is>
      </c>
      <c r="E108" s="6" t="inlineStr">
        <is>
          <t>€1.7mn proposed investment plan to Noise Acition Plan 2029 to address road traffic noise</t>
        </is>
      </c>
      <c r="F108" s="17" t="n">
        <v>1700000</v>
      </c>
      <c r="G108" s="8">
        <f>IFERROR(INDEX(Sub_Markets!$B$5:$B$77,MATCH(D108,Sub_Markets!$A$5:$A$77,0)),C108)</f>
        <v/>
      </c>
      <c r="H108" s="6" t="inlineStr">
        <is>
          <t>EUR</t>
        </is>
      </c>
      <c r="I108" s="8">
        <f>IF(C108=G108,"Yes","No")</f>
        <v/>
      </c>
      <c r="J108" s="17" t="n">
        <v>1955000</v>
      </c>
      <c r="K108" s="6" t="inlineStr">
        <is>
          <t>Grant financing</t>
        </is>
      </c>
      <c r="L108" s="6" t="inlineStr">
        <is>
          <t>Restricted funds</t>
        </is>
      </c>
      <c r="M108" s="6" t="inlineStr">
        <is>
          <t>Lusa - Business News - Portugal: Porto city council to debate €1.7M traffic noise reduction plan</t>
        </is>
      </c>
    </row>
    <row r="109">
      <c r="A109" s="6" t="inlineStr">
        <is>
          <t>M186</t>
        </is>
      </c>
      <c r="B109" s="6" t="inlineStr">
        <is>
          <t>PRT</t>
        </is>
      </c>
      <c r="C109" s="6" t="inlineStr">
        <is>
          <t>P03</t>
        </is>
      </c>
      <c r="D109" s="6" t="inlineStr">
        <is>
          <t>PL9</t>
        </is>
      </c>
      <c r="E109" s="6" t="inlineStr">
        <is>
          <t>Lisbon Airport Noise Mitigation: Government Funds Home Soundproofing in Affected Neighborhoods</t>
        </is>
      </c>
      <c r="F109" s="17" t="n">
        <v>10000000</v>
      </c>
      <c r="G109" s="8">
        <f>IFERROR(INDEX(Sub_Markets!$B$5:$B$77,MATCH(D109,Sub_Markets!$A$5:$A$77,0)),C109)</f>
        <v/>
      </c>
      <c r="H109" s="6" t="inlineStr">
        <is>
          <t>EUR</t>
        </is>
      </c>
      <c r="I109" s="8">
        <f>IF(C109=G109,"Yes","No")</f>
        <v/>
      </c>
      <c r="J109" s="17" t="n">
        <v>11500000</v>
      </c>
      <c r="K109" s="6" t="inlineStr">
        <is>
          <t>Debt financing</t>
        </is>
      </c>
      <c r="L109" s="6" t="inlineStr">
        <is>
          <t>Term debt</t>
        </is>
      </c>
      <c r="M109" s="6" t="inlineStr">
        <is>
          <t>Lisbon Airport Noise Mitigation: Government Funds Home Soundproofing in Affected Neighborhoods | Real Estate Lisbon News</t>
        </is>
      </c>
    </row>
    <row r="110">
      <c r="A110" s="6" t="inlineStr">
        <is>
          <t>M187</t>
        </is>
      </c>
      <c r="B110" s="6" t="inlineStr">
        <is>
          <t>ITA</t>
        </is>
      </c>
      <c r="C110" s="6" t="inlineStr">
        <is>
          <t>P02</t>
        </is>
      </c>
      <c r="D110" s="6" t="inlineStr">
        <is>
          <t>PL3</t>
        </is>
      </c>
      <c r="E110" s="6" t="inlineStr">
        <is>
          <t>Better waste management thanks to modern, state-of-the-art facilities and the fight against illegal disposal</t>
        </is>
      </c>
      <c r="F110" s="17" t="n">
        <v>600000000</v>
      </c>
      <c r="G110" s="8">
        <f>IFERROR(INDEX(Sub_Markets!$B$5:$B$77,MATCH(D110,Sub_Markets!$A$5:$A$77,0)),C110)</f>
        <v/>
      </c>
      <c r="H110" s="6" t="inlineStr">
        <is>
          <t>EUR</t>
        </is>
      </c>
      <c r="I110" s="8">
        <f>IF(C110=G110,"Yes","No")</f>
        <v/>
      </c>
      <c r="J110" s="17" t="n">
        <v>690000000</v>
      </c>
      <c r="K110" s="6" t="inlineStr">
        <is>
          <t>Debt financing</t>
        </is>
      </c>
      <c r="L110" s="6" t="inlineStr">
        <is>
          <t>Term debt</t>
        </is>
      </c>
      <c r="M110" s="6" t="inlineStr">
        <is>
          <t>Circular economy "flagship" projects - Italia Domani</t>
        </is>
      </c>
    </row>
    <row r="111">
      <c r="A111" s="6" t="inlineStr">
        <is>
          <t>M188</t>
        </is>
      </c>
      <c r="B111" s="6" t="inlineStr">
        <is>
          <t>ITA</t>
        </is>
      </c>
      <c r="C111" s="6" t="inlineStr">
        <is>
          <t>P02</t>
        </is>
      </c>
      <c r="D111" s="6" t="inlineStr">
        <is>
          <t>PL3</t>
        </is>
      </c>
      <c r="E111" s="6" t="inlineStr">
        <is>
          <t>Improve and digitize the management of urban waste and strengthen the infrastructure for separate collection, both by modernizing treatment plants and by creating new ones, so as to bridge the gap between the regions of the North and those of the Center-South.</t>
        </is>
      </c>
      <c r="F111" s="17" t="n">
        <v>1500000000</v>
      </c>
      <c r="G111" s="8">
        <f>IFERROR(INDEX(Sub_Markets!$B$5:$B$77,MATCH(D111,Sub_Markets!$A$5:$A$77,0)),C111)</f>
        <v/>
      </c>
      <c r="H111" s="6" t="inlineStr">
        <is>
          <t>EUR</t>
        </is>
      </c>
      <c r="I111" s="8">
        <f>IF(C111=G111,"Yes","No")</f>
        <v/>
      </c>
      <c r="J111" s="17" t="n">
        <v>1725000000</v>
      </c>
      <c r="K111" s="6" t="inlineStr">
        <is>
          <t>Debt financing</t>
        </is>
      </c>
      <c r="L111" s="6" t="inlineStr">
        <is>
          <t>Term debt</t>
        </is>
      </c>
      <c r="M111" s="6" t="inlineStr">
        <is>
          <t>Standardised waste management throughout the country</t>
        </is>
      </c>
    </row>
    <row r="112">
      <c r="A112" s="6" t="inlineStr">
        <is>
          <t>M189</t>
        </is>
      </c>
      <c r="B112" s="6" t="inlineStr">
        <is>
          <t>SAU</t>
        </is>
      </c>
      <c r="C112" s="6" t="inlineStr">
        <is>
          <t>P02</t>
        </is>
      </c>
      <c r="D112" s="6" t="inlineStr">
        <is>
          <t>PL3</t>
        </is>
      </c>
      <c r="E112" s="6" t="inlineStr">
        <is>
          <t>Saudi-Arabia anticipates the construction and operation of a total of 1,329 new recycling and waste processing facilities by 2035. One of the MWAN’s primary tasks is to attract private investors, with a focus on Public-Private Partnership (PPP) projects.</t>
        </is>
      </c>
      <c r="F112" s="17" t="n">
        <v>22000000000</v>
      </c>
      <c r="G112" s="8">
        <f>IFERROR(INDEX(Sub_Markets!$B$5:$B$77,MATCH(D112,Sub_Markets!$A$5:$A$77,0)),C112)</f>
        <v/>
      </c>
      <c r="H112" s="6" t="inlineStr">
        <is>
          <t>USD</t>
        </is>
      </c>
      <c r="I112" s="8">
        <f>IF(C112=G112,"Yes","No")</f>
        <v/>
      </c>
      <c r="J112" s="17" t="n">
        <v>22000000000</v>
      </c>
      <c r="K112" s="6" t="inlineStr">
        <is>
          <t>Equity financing</t>
        </is>
      </c>
      <c r="L112" s="6" t="inlineStr">
        <is>
          <t>Private equity</t>
        </is>
      </c>
      <c r="M112" s="6" t="inlineStr">
        <is>
          <t>Circular Economy in the Kingdom of Saudi-Arabia</t>
        </is>
      </c>
    </row>
    <row r="113">
      <c r="A113" s="6" t="inlineStr">
        <is>
          <t>M19</t>
        </is>
      </c>
      <c r="B113" s="6" t="inlineStr">
        <is>
          <t>CAN</t>
        </is>
      </c>
      <c r="C113" s="6" t="inlineStr">
        <is>
          <t>W02</t>
        </is>
      </c>
      <c r="D113" s="6" t="inlineStr">
        <is>
          <t>WU12</t>
        </is>
      </c>
      <c r="E113" s="6" t="inlineStr">
        <is>
          <t>Investment to ratify the High Seas Treaty and advance the international commitment to protect 30 per cent of the world’s oceans.</t>
        </is>
      </c>
      <c r="F113" s="17" t="n">
        <v>24400000</v>
      </c>
      <c r="G113" s="8">
        <f>IFERROR(INDEX(Sub_Markets!$B$5:$B$77,MATCH(D113,Sub_Markets!$A$5:$A$77,0)),C113)</f>
        <v/>
      </c>
      <c r="H113" s="6" t="inlineStr">
        <is>
          <t>CAD</t>
        </is>
      </c>
      <c r="I113" s="8">
        <f>IF(C113=G113,"Yes","No")</f>
        <v/>
      </c>
      <c r="J113" s="17" t="n">
        <v>17568000</v>
      </c>
      <c r="K113" s="6" t="inlineStr">
        <is>
          <t>Grant financing</t>
        </is>
      </c>
      <c r="L113" s="6" t="inlineStr">
        <is>
          <t>Restricted funds</t>
        </is>
      </c>
      <c r="M113" s="6" t="inlineStr">
        <is>
          <t xml:space="preserve"> A Force of Nature: Canada’s Strategy to Protect Nature</t>
        </is>
      </c>
    </row>
    <row r="114">
      <c r="A114" s="6" t="inlineStr">
        <is>
          <t>M20</t>
        </is>
      </c>
      <c r="B114" s="6" t="inlineStr">
        <is>
          <t>CAN</t>
        </is>
      </c>
      <c r="C114" s="6" t="inlineStr">
        <is>
          <t>W02</t>
        </is>
      </c>
      <c r="D114" s="6" t="inlineStr">
        <is>
          <t>WU14</t>
        </is>
      </c>
      <c r="E114" s="6" t="inlineStr">
        <is>
          <t>Wetland conservation over 5 years for conservation, enhancement, and restoration 
and stormwater management.</t>
        </is>
      </c>
      <c r="F114" s="17" t="n">
        <v>31000000</v>
      </c>
      <c r="G114" s="8">
        <f>IFERROR(INDEX(Sub_Markets!$B$5:$B$77,MATCH(D114,Sub_Markets!$A$5:$A$77,0)),C114)</f>
        <v/>
      </c>
      <c r="H114" s="6" t="inlineStr">
        <is>
          <t>CAD</t>
        </is>
      </c>
      <c r="I114" s="8">
        <f>IF(C114=G114,"Yes","No")</f>
        <v/>
      </c>
      <c r="J114" s="17" t="n">
        <v>22320000</v>
      </c>
      <c r="K114" s="6" t="inlineStr">
        <is>
          <t>Grant financing</t>
        </is>
      </c>
      <c r="L114" s="6" t="inlineStr">
        <is>
          <t>Restricted funds</t>
        </is>
      </c>
      <c r="M114" s="6" t="inlineStr">
        <is>
          <t xml:space="preserve">NBSAP </t>
        </is>
      </c>
    </row>
    <row r="115">
      <c r="A115" s="6" t="inlineStr">
        <is>
          <t>M21</t>
        </is>
      </c>
      <c r="B115" s="6" t="inlineStr">
        <is>
          <t>FRA</t>
        </is>
      </c>
      <c r="C115" s="6" t="inlineStr">
        <is>
          <t>W01</t>
        </is>
      </c>
      <c r="D115" s="6" t="inlineStr">
        <is>
          <t>WU02</t>
        </is>
      </c>
      <c r="E115" s="6" t="inlineStr">
        <is>
          <t>Water saving plan - emergency fund to fix leaks and upgrade networks in most at risk areas</t>
        </is>
      </c>
      <c r="F115" s="17" t="n">
        <v>180000000</v>
      </c>
      <c r="G115" s="8">
        <f>IFERROR(INDEX(Sub_Markets!$B$5:$B$77,MATCH(D115,Sub_Markets!$A$5:$A$77,0)),C115)</f>
        <v/>
      </c>
      <c r="H115" s="6" t="inlineStr">
        <is>
          <t>EUR</t>
        </is>
      </c>
      <c r="I115" s="8">
        <f>IF(C115=G115,"Yes","No")</f>
        <v/>
      </c>
      <c r="J115" s="17" t="n">
        <v>207000000</v>
      </c>
      <c r="K115" s="6" t="inlineStr">
        <is>
          <t>Debt financing</t>
        </is>
      </c>
      <c r="L115" s="6" t="inlineStr">
        <is>
          <t>Term debt</t>
        </is>
      </c>
      <c r="M115" s="6" t="inlineStr">
        <is>
          <t>French water saving plan to combat drought • Water News Europe</t>
        </is>
      </c>
    </row>
    <row r="116">
      <c r="A116" s="6" t="inlineStr">
        <is>
          <t>M22</t>
        </is>
      </c>
      <c r="B116" s="6" t="inlineStr">
        <is>
          <t>FRA</t>
        </is>
      </c>
      <c r="C116" s="6" t="inlineStr">
        <is>
          <t>W01</t>
        </is>
      </c>
      <c r="D116" s="6" t="inlineStr">
        <is>
          <t>WU04</t>
        </is>
      </c>
      <c r="E116" s="6" t="inlineStr">
        <is>
          <t>Investment to help farmers adapt to new technology such as intelligent drip systems</t>
        </is>
      </c>
      <c r="F116" s="17" t="n">
        <v>30000000</v>
      </c>
      <c r="G116" s="8">
        <f>IFERROR(INDEX(Sub_Markets!$B$5:$B$77,MATCH(D116,Sub_Markets!$A$5:$A$77,0)),C116)</f>
        <v/>
      </c>
      <c r="H116" s="6" t="inlineStr">
        <is>
          <t>EUR</t>
        </is>
      </c>
      <c r="I116" s="8">
        <f>IF(C116=G116,"Yes","No")</f>
        <v/>
      </c>
      <c r="J116" s="17" t="n">
        <v>34500000</v>
      </c>
      <c r="K116" s="6" t="inlineStr">
        <is>
          <t>Grant financing</t>
        </is>
      </c>
      <c r="L116" s="6" t="inlineStr">
        <is>
          <t>Restricted funds</t>
        </is>
      </c>
      <c r="M116" s="6" t="inlineStr">
        <is>
          <t>French water saving plan to combat drought • Water News Europe</t>
        </is>
      </c>
    </row>
    <row r="117">
      <c r="A117" s="6" t="inlineStr">
        <is>
          <t>M23</t>
        </is>
      </c>
      <c r="B117" s="6" t="inlineStr">
        <is>
          <t>FRA</t>
        </is>
      </c>
      <c r="C117" s="6" t="inlineStr">
        <is>
          <t>W01</t>
        </is>
      </c>
      <c r="D117" s="6" t="inlineStr">
        <is>
          <t>WU04</t>
        </is>
      </c>
      <c r="E117" s="6" t="inlineStr">
        <is>
          <t>Budget for water agencies would increase thereby increasing water economy</t>
        </is>
      </c>
      <c r="F117" s="17" t="n">
        <v>6000000000</v>
      </c>
      <c r="G117" s="8">
        <f>IFERROR(INDEX(Sub_Markets!$B$5:$B$77,MATCH(D117,Sub_Markets!$A$5:$A$77,0)),C117)</f>
        <v/>
      </c>
      <c r="H117" s="6" t="inlineStr">
        <is>
          <t>EUR</t>
        </is>
      </c>
      <c r="I117" s="8">
        <f>IF(C117=G117,"Yes","No")</f>
        <v/>
      </c>
      <c r="J117" s="17" t="n">
        <v>6899999999.999999</v>
      </c>
      <c r="K117" s="6" t="inlineStr">
        <is>
          <t>Grant financing</t>
        </is>
      </c>
      <c r="L117" s="6" t="inlineStr">
        <is>
          <t>Unrestricted funds</t>
        </is>
      </c>
      <c r="M117" s="6" t="inlineStr">
        <is>
          <t>French water saving plan to combat drought • Water News Europe</t>
        </is>
      </c>
    </row>
    <row r="118">
      <c r="A118" s="6" t="inlineStr">
        <is>
          <t>M24</t>
        </is>
      </c>
      <c r="B118" s="6" t="inlineStr">
        <is>
          <t>FRA</t>
        </is>
      </c>
      <c r="C118" s="6" t="inlineStr">
        <is>
          <t>W02</t>
        </is>
      </c>
      <c r="D118" s="6" t="inlineStr">
        <is>
          <t>WU12</t>
        </is>
      </c>
      <c r="E118" s="6" t="inlineStr">
        <is>
          <t>For the preservation of aquatic areas by water agency</t>
        </is>
      </c>
      <c r="F118" s="17" t="n">
        <v>475000000</v>
      </c>
      <c r="G118" s="8">
        <f>IFERROR(INDEX(Sub_Markets!$B$5:$B$77,MATCH(D118,Sub_Markets!$A$5:$A$77,0)),C118)</f>
        <v/>
      </c>
      <c r="H118" s="6" t="inlineStr">
        <is>
          <t>EUR</t>
        </is>
      </c>
      <c r="I118" s="8">
        <f>IF(C118=G118,"Yes","No")</f>
        <v/>
      </c>
      <c r="J118" s="17" t="n">
        <v>546250000</v>
      </c>
      <c r="K118" s="6" t="inlineStr">
        <is>
          <t>Grant financing</t>
        </is>
      </c>
      <c r="L118" s="6" t="inlineStr">
        <is>
          <t>Unrestricted funds</t>
        </is>
      </c>
      <c r="M118" s="6" t="inlineStr">
        <is>
          <t>eau_fr_web_cle07e783.pdf</t>
        </is>
      </c>
    </row>
    <row r="119">
      <c r="A119" s="6" t="inlineStr">
        <is>
          <t>M25</t>
        </is>
      </c>
      <c r="B119" s="6" t="inlineStr">
        <is>
          <t>ESP</t>
        </is>
      </c>
      <c r="C119" s="6" t="inlineStr">
        <is>
          <t>W01</t>
        </is>
      </c>
      <c r="D119" s="6" t="inlineStr">
        <is>
          <t>WU01</t>
        </is>
      </c>
      <c r="E119" s="6" t="inlineStr">
        <is>
          <t>Investment for irrigation systems</t>
        </is>
      </c>
      <c r="F119" s="17" t="n">
        <v>5070000000</v>
      </c>
      <c r="G119" s="8">
        <f>IFERROR(INDEX(Sub_Markets!$B$5:$B$77,MATCH(D119,Sub_Markets!$A$5:$A$77,0)),C119)</f>
        <v/>
      </c>
      <c r="H119" s="6" t="inlineStr">
        <is>
          <t>EUR</t>
        </is>
      </c>
      <c r="I119" s="8">
        <f>IF(C119=G119,"Yes","No")</f>
        <v/>
      </c>
      <c r="J119" s="17" t="n">
        <v>5830500000</v>
      </c>
      <c r="K119" s="6" t="inlineStr">
        <is>
          <t>Equity and debt finance</t>
        </is>
      </c>
      <c r="L119" s="6" t="inlineStr">
        <is>
          <t>Term debt and equity</t>
        </is>
      </c>
      <c r="M119" s="6" t="inlineStr">
        <is>
          <t>Spain Unveils 2027 Water Plan Focused on Droughts and Floods</t>
        </is>
      </c>
    </row>
    <row r="120">
      <c r="A120" s="6" t="inlineStr">
        <is>
          <t>M26</t>
        </is>
      </c>
      <c r="B120" s="6" t="inlineStr">
        <is>
          <t>ESP</t>
        </is>
      </c>
      <c r="C120" s="6" t="inlineStr">
        <is>
          <t>W01</t>
        </is>
      </c>
      <c r="D120" s="6" t="inlineStr">
        <is>
          <t>WU04</t>
        </is>
      </c>
      <c r="E120" s="6" t="inlineStr">
        <is>
          <t>Investment for water-cycle digitalisation</t>
        </is>
      </c>
      <c r="F120" s="17" t="n">
        <v>3060000000</v>
      </c>
      <c r="G120" s="8">
        <f>IFERROR(INDEX(Sub_Markets!$B$5:$B$77,MATCH(D120,Sub_Markets!$A$5:$A$77,0)),C120)</f>
        <v/>
      </c>
      <c r="H120" s="6" t="inlineStr">
        <is>
          <t>EUR</t>
        </is>
      </c>
      <c r="I120" s="8">
        <f>IF(C120=G120,"Yes","No")</f>
        <v/>
      </c>
      <c r="J120" s="17" t="n">
        <v>3519000000</v>
      </c>
      <c r="K120" s="6" t="inlineStr">
        <is>
          <t>Equity and debt finance</t>
        </is>
      </c>
      <c r="L120" s="6" t="inlineStr">
        <is>
          <t>Term debt and equity</t>
        </is>
      </c>
      <c r="M120" s="6" t="inlineStr">
        <is>
          <t>Spain Unveils 2027 Water Plan Focused on Droughts and Floods</t>
        </is>
      </c>
    </row>
    <row r="121">
      <c r="A121" s="6" t="inlineStr">
        <is>
          <t>M27</t>
        </is>
      </c>
      <c r="B121" s="6" t="inlineStr">
        <is>
          <t>ESP</t>
        </is>
      </c>
      <c r="C121" s="6" t="inlineStr">
        <is>
          <t>W02</t>
        </is>
      </c>
      <c r="D121" s="6" t="inlineStr">
        <is>
          <t>WU09</t>
        </is>
      </c>
      <c r="E121" s="6" t="inlineStr">
        <is>
          <t>Investment for health and treatment infrastructure</t>
        </is>
      </c>
      <c r="F121" s="17" t="n">
        <v>6643000000</v>
      </c>
      <c r="G121" s="8">
        <f>IFERROR(INDEX(Sub_Markets!$B$5:$B$77,MATCH(D121,Sub_Markets!$A$5:$A$77,0)),C121)</f>
        <v/>
      </c>
      <c r="H121" s="6" t="inlineStr">
        <is>
          <t>EUR</t>
        </is>
      </c>
      <c r="I121" s="8">
        <f>IF(C121=G121,"Yes","No")</f>
        <v/>
      </c>
      <c r="J121" s="17" t="n">
        <v>7639449999.999999</v>
      </c>
      <c r="K121" s="6" t="inlineStr">
        <is>
          <t>Equity and debt finance</t>
        </is>
      </c>
      <c r="L121" s="6" t="inlineStr">
        <is>
          <t>Term debt and equity</t>
        </is>
      </c>
      <c r="M121" s="6" t="inlineStr">
        <is>
          <t>Spain Unveils 2027 Water Plan Focused on Droughts and Floods</t>
        </is>
      </c>
    </row>
    <row r="122">
      <c r="A122" s="6" t="inlineStr">
        <is>
          <t>M28</t>
        </is>
      </c>
      <c r="B122" s="6" t="inlineStr">
        <is>
          <t>ESP</t>
        </is>
      </c>
      <c r="C122" s="6" t="inlineStr">
        <is>
          <t>W02</t>
        </is>
      </c>
      <c r="D122" s="6" t="inlineStr">
        <is>
          <t>WU10</t>
        </is>
      </c>
      <c r="E122" s="6" t="inlineStr">
        <is>
          <t>Investment for desalination and reuse projects</t>
        </is>
      </c>
      <c r="F122" s="17" t="n">
        <v>1270000000</v>
      </c>
      <c r="G122" s="8">
        <f>IFERROR(INDEX(Sub_Markets!$B$5:$B$77,MATCH(D122,Sub_Markets!$A$5:$A$77,0)),C122)</f>
        <v/>
      </c>
      <c r="H122" s="6" t="inlineStr">
        <is>
          <t>EUR</t>
        </is>
      </c>
      <c r="I122" s="8">
        <f>IF(C122=G122,"Yes","No")</f>
        <v/>
      </c>
      <c r="J122" s="17" t="n">
        <v>1460500000</v>
      </c>
      <c r="K122" s="6" t="inlineStr">
        <is>
          <t>Equity and debt finance</t>
        </is>
      </c>
      <c r="L122" s="6" t="inlineStr">
        <is>
          <t>Term debt and equity</t>
        </is>
      </c>
      <c r="M122" s="6" t="inlineStr">
        <is>
          <t>Spain Unveils 2027 Water Plan Focused on Droughts and Floods</t>
        </is>
      </c>
    </row>
    <row r="123">
      <c r="A123" s="6" t="inlineStr">
        <is>
          <t>M29</t>
        </is>
      </c>
      <c r="B123" s="6" t="inlineStr">
        <is>
          <t>ESP</t>
        </is>
      </c>
      <c r="C123" s="6" t="inlineStr">
        <is>
          <t>W03</t>
        </is>
      </c>
      <c r="D123" s="6" t="inlineStr">
        <is>
          <t>WU15</t>
        </is>
      </c>
      <c r="E123" s="6" t="inlineStr">
        <is>
          <t>Investment for water supply improvements</t>
        </is>
      </c>
      <c r="F123" s="17" t="n">
        <v>2260000000</v>
      </c>
      <c r="G123" s="8">
        <f>IFERROR(INDEX(Sub_Markets!$B$5:$B$77,MATCH(D123,Sub_Markets!$A$5:$A$77,0)),C123)</f>
        <v/>
      </c>
      <c r="H123" s="6" t="inlineStr">
        <is>
          <t>EUR</t>
        </is>
      </c>
      <c r="I123" s="8">
        <f>IF(C123=G123,"Yes","No")</f>
        <v/>
      </c>
      <c r="J123" s="17" t="n">
        <v>2599000000</v>
      </c>
      <c r="K123" s="6" t="inlineStr">
        <is>
          <t>Equity and debt finance</t>
        </is>
      </c>
      <c r="L123" s="6" t="inlineStr">
        <is>
          <t>Term debt and equity</t>
        </is>
      </c>
      <c r="M123" s="6" t="inlineStr">
        <is>
          <t>Spain Unveils 2027 Water Plan Focused on Droughts and Floods</t>
        </is>
      </c>
    </row>
    <row r="124">
      <c r="A124" s="6" t="inlineStr">
        <is>
          <t>M30</t>
        </is>
      </c>
      <c r="B124" s="6" t="inlineStr">
        <is>
          <t>ESP</t>
        </is>
      </c>
      <c r="C124" s="6" t="inlineStr">
        <is>
          <t>DM02</t>
        </is>
      </c>
      <c r="D124" s="6" t="inlineStr">
        <is>
          <t>A15</t>
        </is>
      </c>
      <c r="E124" s="6" t="inlineStr">
        <is>
          <t>Investment to support flood risk management, restoration and protection of public hydraulic infrastructure</t>
        </is>
      </c>
      <c r="F124" s="17" t="n">
        <v>2077000000</v>
      </c>
      <c r="G124" s="8">
        <f>IFERROR(INDEX(Sub_Markets!$B$5:$B$77,MATCH(D124,Sub_Markets!$A$5:$A$77,0)),C124)</f>
        <v/>
      </c>
      <c r="H124" s="6" t="inlineStr">
        <is>
          <t>EUR</t>
        </is>
      </c>
      <c r="I124" s="8">
        <f>IF(C124=G124,"Yes","No")</f>
        <v/>
      </c>
      <c r="J124" s="17" t="n">
        <v>2388550000</v>
      </c>
      <c r="K124" s="6" t="inlineStr">
        <is>
          <t>Equity and debt finance</t>
        </is>
      </c>
      <c r="L124" s="6" t="inlineStr">
        <is>
          <t>Term debt and equity</t>
        </is>
      </c>
      <c r="M124" s="6" t="inlineStr">
        <is>
          <t>Spain Unveils 2027 Water Plan Focused on Droughts and Floods</t>
        </is>
      </c>
    </row>
    <row r="125">
      <c r="A125" s="6" t="inlineStr">
        <is>
          <t>M31</t>
        </is>
      </c>
      <c r="B125" s="6" t="inlineStr">
        <is>
          <t>DEU</t>
        </is>
      </c>
      <c r="C125" s="6" t="inlineStr">
        <is>
          <t>W01</t>
        </is>
      </c>
      <c r="D125" s="6" t="inlineStr">
        <is>
          <t>WU02</t>
        </is>
      </c>
      <c r="E125" s="6" t="inlineStr">
        <is>
          <t>Investment in sewerage system</t>
        </is>
      </c>
      <c r="F125" s="17" t="n">
        <v>6000000000</v>
      </c>
      <c r="G125" s="8">
        <f>IFERROR(INDEX(Sub_Markets!$B$5:$B$77,MATCH(D125,Sub_Markets!$A$5:$A$77,0)),C125)</f>
        <v/>
      </c>
      <c r="H125" s="6" t="inlineStr">
        <is>
          <t>EUR</t>
        </is>
      </c>
      <c r="I125" s="8">
        <f>IF(C125=G125,"Yes","No")</f>
        <v/>
      </c>
      <c r="J125" s="17" t="n">
        <v>6899999999.999999</v>
      </c>
      <c r="K125" s="6" t="inlineStr">
        <is>
          <t>Debt financing</t>
        </is>
      </c>
      <c r="L125" s="6" t="inlineStr">
        <is>
          <t>Term debt</t>
        </is>
      </c>
      <c r="M125" s="6" t="inlineStr">
        <is>
          <t>nationale_wasserstrategie_2023_en_bf.pdf</t>
        </is>
      </c>
    </row>
    <row r="126">
      <c r="A126" s="6" t="inlineStr">
        <is>
          <t>M32</t>
        </is>
      </c>
      <c r="B126" s="6" t="inlineStr">
        <is>
          <t>DEU</t>
        </is>
      </c>
      <c r="C126" s="6" t="inlineStr">
        <is>
          <t>W02</t>
        </is>
      </c>
      <c r="D126" s="6" t="inlineStr">
        <is>
          <t>WU14</t>
        </is>
      </c>
      <c r="E126" s="6" t="inlineStr">
        <is>
          <t>Investment in fair water availability via peatland and wetland restoration</t>
        </is>
      </c>
      <c r="F126" s="17" t="n">
        <v>4000000000</v>
      </c>
      <c r="G126" s="8">
        <f>IFERROR(INDEX(Sub_Markets!$B$5:$B$77,MATCH(D126,Sub_Markets!$A$5:$A$77,0)),C126)</f>
        <v/>
      </c>
      <c r="H126" s="6" t="inlineStr">
        <is>
          <t>EUR</t>
        </is>
      </c>
      <c r="I126" s="8">
        <f>IF(C126=G126,"Yes","No")</f>
        <v/>
      </c>
      <c r="J126" s="17" t="n">
        <v>4600000000</v>
      </c>
      <c r="K126" s="6" t="inlineStr">
        <is>
          <t>Grant financing</t>
        </is>
      </c>
      <c r="L126" s="6" t="inlineStr">
        <is>
          <t>Restricted funds</t>
        </is>
      </c>
      <c r="M126" s="6" t="inlineStr">
        <is>
          <t>Germany is promoting peatland restoration as part of national climate strategy | Agroberichten Buitenland</t>
        </is>
      </c>
    </row>
    <row r="127">
      <c r="A127" s="6" t="inlineStr">
        <is>
          <t>M33</t>
        </is>
      </c>
      <c r="B127" s="6" t="inlineStr">
        <is>
          <t>IRL</t>
        </is>
      </c>
      <c r="C127" s="6" t="inlineStr">
        <is>
          <t>W02</t>
        </is>
      </c>
      <c r="D127" s="6" t="inlineStr">
        <is>
          <t>WU14</t>
        </is>
      </c>
      <c r="E127" s="6" t="inlineStr">
        <is>
          <t>Peatland restoration funded through EU national Recovery and Resilience Plan</t>
        </is>
      </c>
      <c r="F127" s="17" t="n">
        <v>108000000</v>
      </c>
      <c r="G127" s="8">
        <f>IFERROR(INDEX(Sub_Markets!$B$5:$B$77,MATCH(D127,Sub_Markets!$A$5:$A$77,0)),C127)</f>
        <v/>
      </c>
      <c r="H127" s="6" t="inlineStr">
        <is>
          <t>EUR</t>
        </is>
      </c>
      <c r="I127" s="8">
        <f>IF(C127=G127,"Yes","No")</f>
        <v/>
      </c>
      <c r="J127" s="17" t="n">
        <v>124200000</v>
      </c>
      <c r="K127" s="6" t="inlineStr">
        <is>
          <t>Grant financing</t>
        </is>
      </c>
      <c r="L127" s="6" t="inlineStr">
        <is>
          <t>Restricted funds</t>
        </is>
      </c>
      <c r="M127" s="6" t="inlineStr">
        <is>
          <t>NBSAP</t>
        </is>
      </c>
    </row>
    <row r="128">
      <c r="A128" s="6" t="inlineStr">
        <is>
          <t>M34</t>
        </is>
      </c>
      <c r="B128" s="6" t="inlineStr">
        <is>
          <t>IRL</t>
        </is>
      </c>
      <c r="C128" s="6" t="inlineStr">
        <is>
          <t>W01</t>
        </is>
      </c>
      <c r="D128" s="6" t="inlineStr">
        <is>
          <t>WU04</t>
        </is>
      </c>
      <c r="E128" s="6" t="inlineStr">
        <is>
          <t>Governmental capital allocation to water sector</t>
        </is>
      </c>
      <c r="F128" s="17" t="n">
        <v>12200000000</v>
      </c>
      <c r="G128" s="8">
        <f>IFERROR(INDEX(Sub_Markets!$B$5:$B$77,MATCH(D128,Sub_Markets!$A$5:$A$77,0)),C128)</f>
        <v/>
      </c>
      <c r="H128" s="6" t="inlineStr">
        <is>
          <t>EUR</t>
        </is>
      </c>
      <c r="I128" s="8">
        <f>IF(C128=G128,"Yes","No")</f>
        <v/>
      </c>
      <c r="J128" s="17" t="n">
        <v>14030000000</v>
      </c>
      <c r="K128" s="6" t="inlineStr">
        <is>
          <t>Debt financing</t>
        </is>
      </c>
      <c r="L128" s="6" t="inlineStr">
        <is>
          <t>Term debt</t>
        </is>
      </c>
      <c r="M128" s="6" t="inlineStr">
        <is>
          <t>Water Action Plan</t>
        </is>
      </c>
    </row>
    <row r="129">
      <c r="A129" s="6" t="inlineStr">
        <is>
          <t>M35</t>
        </is>
      </c>
      <c r="B129" s="6" t="inlineStr">
        <is>
          <t>IRL</t>
        </is>
      </c>
      <c r="C129" s="6" t="inlineStr">
        <is>
          <t>W01</t>
        </is>
      </c>
      <c r="D129" s="6" t="inlineStr">
        <is>
          <t>WU04</t>
        </is>
      </c>
      <c r="E129" s="6" t="inlineStr">
        <is>
          <t>Reduction in water leakage</t>
        </is>
      </c>
      <c r="F129" s="17" t="n">
        <v>73000000</v>
      </c>
      <c r="G129" s="8">
        <f>IFERROR(INDEX(Sub_Markets!$B$5:$B$77,MATCH(D129,Sub_Markets!$A$5:$A$77,0)),C129)</f>
        <v/>
      </c>
      <c r="H129" s="6" t="inlineStr">
        <is>
          <t>EUR</t>
        </is>
      </c>
      <c r="I129" s="8">
        <f>IF(C129=G129,"Yes","No")</f>
        <v/>
      </c>
      <c r="J129" s="17" t="n">
        <v>83950000</v>
      </c>
      <c r="K129" s="6" t="inlineStr">
        <is>
          <t>Debt financing</t>
        </is>
      </c>
      <c r="L129" s="6" t="inlineStr">
        <is>
          <t>Term debt</t>
        </is>
      </c>
      <c r="M129" s="6" t="inlineStr">
        <is>
          <t>Water Action Plan</t>
        </is>
      </c>
    </row>
    <row r="130">
      <c r="A130" s="6" t="inlineStr">
        <is>
          <t>M36</t>
        </is>
      </c>
      <c r="B130" s="6" t="inlineStr">
        <is>
          <t>IRL</t>
        </is>
      </c>
      <c r="C130" s="6" t="inlineStr">
        <is>
          <t>W02</t>
        </is>
      </c>
      <c r="D130" s="6" t="inlineStr">
        <is>
          <t>WU09</t>
        </is>
      </c>
      <c r="E130" s="6" t="inlineStr">
        <is>
          <t>Farming for Water;' investment to project water quality and run-off from farmland</t>
        </is>
      </c>
      <c r="F130" s="17" t="n">
        <v>60000000</v>
      </c>
      <c r="G130" s="8">
        <f>IFERROR(INDEX(Sub_Markets!$B$5:$B$77,MATCH(D130,Sub_Markets!$A$5:$A$77,0)),C130)</f>
        <v/>
      </c>
      <c r="H130" s="6" t="inlineStr">
        <is>
          <t>EUR</t>
        </is>
      </c>
      <c r="I130" s="8">
        <f>IF(C130=G130,"Yes","No")</f>
        <v/>
      </c>
      <c r="J130" s="17" t="n">
        <v>69000000</v>
      </c>
      <c r="K130" s="6" t="inlineStr">
        <is>
          <t>Grant financing</t>
        </is>
      </c>
      <c r="L130" s="6" t="inlineStr">
        <is>
          <t>Accelerators</t>
        </is>
      </c>
      <c r="M130" s="6" t="inlineStr">
        <is>
          <t>NBSAP</t>
        </is>
      </c>
    </row>
    <row r="131">
      <c r="A131" s="6" t="inlineStr">
        <is>
          <t>M37</t>
        </is>
      </c>
      <c r="B131" s="6" t="inlineStr">
        <is>
          <t>IRL</t>
        </is>
      </c>
      <c r="C131" s="6" t="inlineStr">
        <is>
          <t>W03</t>
        </is>
      </c>
      <c r="D131" s="6" t="inlineStr">
        <is>
          <t>WU15</t>
        </is>
      </c>
      <c r="E131" s="6" t="inlineStr">
        <is>
          <t>Investment euros to Uisce Eireann for national water and wastewater infrastructure</t>
        </is>
      </c>
      <c r="F131" s="17" t="n">
        <v>1700000000</v>
      </c>
      <c r="G131" s="8">
        <f>IFERROR(INDEX(Sub_Markets!$B$5:$B$77,MATCH(D131,Sub_Markets!$A$5:$A$77,0)),C131)</f>
        <v/>
      </c>
      <c r="H131" s="6" t="inlineStr">
        <is>
          <t>EUR</t>
        </is>
      </c>
      <c r="I131" s="8">
        <f>IF(C131=G131,"Yes","No")</f>
        <v/>
      </c>
      <c r="J131" s="17" t="n">
        <v>1955000000</v>
      </c>
      <c r="K131" s="6" t="inlineStr">
        <is>
          <t>Debt financing</t>
        </is>
      </c>
      <c r="L131" s="6" t="inlineStr">
        <is>
          <t>Term debt</t>
        </is>
      </c>
      <c r="M131" s="6" t="inlineStr">
        <is>
          <t>Water Action Plan</t>
        </is>
      </c>
    </row>
    <row r="132">
      <c r="A132" s="6" t="inlineStr">
        <is>
          <t>M38</t>
        </is>
      </c>
      <c r="B132" s="6" t="inlineStr">
        <is>
          <t>PRT</t>
        </is>
      </c>
      <c r="C132" s="6" t="inlineStr">
        <is>
          <t>W03</t>
        </is>
      </c>
      <c r="D132" s="6" t="inlineStr">
        <is>
          <t>WU15</t>
        </is>
      </c>
      <c r="E132" s="6" t="inlineStr">
        <is>
          <t>Budget to fund water infrastructure reallocated to address drought resilience and supply security.</t>
        </is>
      </c>
      <c r="F132" s="17" t="n">
        <v>524000000</v>
      </c>
      <c r="G132" s="8">
        <f>IFERROR(INDEX(Sub_Markets!$B$5:$B$77,MATCH(D132,Sub_Markets!$A$5:$A$77,0)),C132)</f>
        <v/>
      </c>
      <c r="H132" s="6" t="inlineStr">
        <is>
          <t>EUR</t>
        </is>
      </c>
      <c r="I132" s="8">
        <f>IF(C132=G132,"Yes","No")</f>
        <v/>
      </c>
      <c r="J132" s="17" t="n">
        <v>602600000</v>
      </c>
      <c r="K132" s="6" t="inlineStr">
        <is>
          <t>Debt financing</t>
        </is>
      </c>
      <c r="L132" s="6" t="inlineStr">
        <is>
          <t>Term debt</t>
        </is>
      </c>
      <c r="M132" s="6" t="inlineStr">
        <is>
          <t>Portugal Reallocates €2.5B EU Funds: Housing Crisis 2025</t>
        </is>
      </c>
    </row>
    <row r="133">
      <c r="A133" s="6" t="inlineStr">
        <is>
          <t>M39</t>
        </is>
      </c>
      <c r="B133" s="6" t="inlineStr">
        <is>
          <t>PRT</t>
        </is>
      </c>
      <c r="C133" s="6" t="inlineStr">
        <is>
          <t>W03</t>
        </is>
      </c>
      <c r="D133" s="6" t="inlineStr">
        <is>
          <t>WU15</t>
        </is>
      </c>
      <c r="E133" s="6" t="inlineStr">
        <is>
          <t>Budget for national water strategy</t>
        </is>
      </c>
      <c r="F133" s="17" t="n">
        <v>5000000000</v>
      </c>
      <c r="G133" s="8">
        <f>IFERROR(INDEX(Sub_Markets!$B$5:$B$77,MATCH(D133,Sub_Markets!$A$5:$A$77,0)),C133)</f>
        <v/>
      </c>
      <c r="H133" s="6" t="inlineStr">
        <is>
          <t>EUR</t>
        </is>
      </c>
      <c r="I133" s="8">
        <f>IF(C133=G133,"Yes","No")</f>
        <v/>
      </c>
      <c r="J133" s="17" t="n">
        <v>5750000000</v>
      </c>
      <c r="K133" s="6" t="inlineStr">
        <is>
          <t>Equity and debt finance</t>
        </is>
      </c>
      <c r="L133" s="6" t="inlineStr">
        <is>
          <t>Term debt</t>
        </is>
      </c>
      <c r="M133" s="6" t="inlineStr">
        <is>
          <t>Government unveils 5 billion euro water management strategy – ECO News</t>
        </is>
      </c>
    </row>
    <row r="134">
      <c r="A134" s="6" t="inlineStr">
        <is>
          <t>M40</t>
        </is>
      </c>
      <c r="B134" s="6" t="inlineStr">
        <is>
          <t>PRT</t>
        </is>
      </c>
      <c r="C134" s="6" t="inlineStr">
        <is>
          <t>W02</t>
        </is>
      </c>
      <c r="D134" s="6" t="inlineStr">
        <is>
          <t>WU11</t>
        </is>
      </c>
      <c r="E134" s="6" t="inlineStr">
        <is>
          <t>River restoration funding</t>
        </is>
      </c>
      <c r="F134" s="17" t="n">
        <v>187000000</v>
      </c>
      <c r="G134" s="8">
        <f>IFERROR(INDEX(Sub_Markets!$B$5:$B$77,MATCH(D134,Sub_Markets!$A$5:$A$77,0)),C134)</f>
        <v/>
      </c>
      <c r="H134" s="6" t="inlineStr">
        <is>
          <t>EUR</t>
        </is>
      </c>
      <c r="I134" s="8">
        <f>IF(C134=G134,"Yes","No")</f>
        <v/>
      </c>
      <c r="J134" s="17" t="n">
        <v>215050000</v>
      </c>
      <c r="K134" s="6" t="inlineStr">
        <is>
          <t>Equity financing</t>
        </is>
      </c>
      <c r="L134" s="6" t="inlineStr">
        <is>
          <t>Impact investors</t>
        </is>
      </c>
      <c r="M134" s="6" t="inlineStr">
        <is>
          <t>Flood Fight: Portugal to Invest 187 Million Euros in Historic River Restoration Plan - Noticias Ambientales</t>
        </is>
      </c>
    </row>
    <row r="135">
      <c r="A135" s="6" t="inlineStr">
        <is>
          <t>M41</t>
        </is>
      </c>
      <c r="B135" s="6" t="inlineStr">
        <is>
          <t>ITA</t>
        </is>
      </c>
      <c r="C135" s="6" t="inlineStr">
        <is>
          <t>W03</t>
        </is>
      </c>
      <c r="D135" s="6" t="inlineStr">
        <is>
          <t>WU15</t>
        </is>
      </c>
      <c r="E135" s="6" t="inlineStr">
        <is>
          <t>Estimated investment required to reduce losses/improve infrastructure</t>
        </is>
      </c>
      <c r="F135" s="17" t="n">
        <v>40000000000</v>
      </c>
      <c r="G135" s="8">
        <f>IFERROR(INDEX(Sub_Markets!$B$5:$B$77,MATCH(D135,Sub_Markets!$A$5:$A$77,0)),C135)</f>
        <v/>
      </c>
      <c r="H135" s="6" t="inlineStr">
        <is>
          <t>EUR</t>
        </is>
      </c>
      <c r="I135" s="8">
        <f>IF(C135=G135,"Yes","No")</f>
        <v/>
      </c>
      <c r="J135" s="17" t="n">
        <v>46000000000</v>
      </c>
      <c r="K135" s="6" t="inlineStr">
        <is>
          <t>Equity and debt finance</t>
        </is>
      </c>
      <c r="L135" s="6" t="inlineStr">
        <is>
          <t>Term debt</t>
        </is>
      </c>
      <c r="M135" s="6" t="inlineStr">
        <is>
          <t>Water investments in Italy: €40 billion by 2029, over €3 billion in net benefits by 2050. The Agici study - FIRSTonline</t>
        </is>
      </c>
    </row>
    <row r="136">
      <c r="A136" s="6" t="inlineStr">
        <is>
          <t>M42</t>
        </is>
      </c>
      <c r="B136" s="6" t="inlineStr">
        <is>
          <t>ITA</t>
        </is>
      </c>
      <c r="C136" s="6" t="inlineStr">
        <is>
          <t>W03</t>
        </is>
      </c>
      <c r="D136" s="6" t="inlineStr">
        <is>
          <t>WU15</t>
        </is>
      </c>
      <c r="E136" s="6" t="inlineStr">
        <is>
          <t>National recovery and resilience plan (EU funded) allocated to 124 primary water-infrastructure projects for water-supply security</t>
        </is>
      </c>
      <c r="F136" s="17" t="n">
        <v>2000000000</v>
      </c>
      <c r="G136" s="8">
        <f>IFERROR(INDEX(Sub_Markets!$B$5:$B$77,MATCH(D136,Sub_Markets!$A$5:$A$77,0)),C136)</f>
        <v/>
      </c>
      <c r="H136" s="6" t="inlineStr">
        <is>
          <t>EUR</t>
        </is>
      </c>
      <c r="I136" s="8">
        <f>IF(C136=G136,"Yes","No")</f>
        <v/>
      </c>
      <c r="J136" s="17" t="n">
        <v>2300000000</v>
      </c>
      <c r="K136" s="6" t="inlineStr">
        <is>
          <t>Debt financing</t>
        </is>
      </c>
      <c r="L136" s="6" t="inlineStr">
        <is>
          <t>Term debt</t>
        </is>
      </c>
      <c r="M136" s="6" t="inlineStr">
        <is>
          <t>Ministerial Decree number 517 of 16/12/2021 | Ministry of Infrastructure and Transport</t>
        </is>
      </c>
    </row>
    <row r="137">
      <c r="A137" s="6" t="inlineStr">
        <is>
          <t>M43</t>
        </is>
      </c>
      <c r="B137" s="6" t="inlineStr">
        <is>
          <t>ITA</t>
        </is>
      </c>
      <c r="C137" s="6" t="inlineStr">
        <is>
          <t>W02</t>
        </is>
      </c>
      <c r="D137" s="6" t="inlineStr">
        <is>
          <t>WU12</t>
        </is>
      </c>
      <c r="E137" s="6" t="inlineStr">
        <is>
          <t>Stop the degradation of Mediterranean ecosystems and recover at least 20 per cent of the seabed and marine habitats in Italian waters by 2026, in order to achieve the European objectives of protecting diversity and bolster the sustainability of fundamental sectors such as fishing, tourism, food and blue growth.</t>
        </is>
      </c>
      <c r="F137" s="17" t="n">
        <v>400000000</v>
      </c>
      <c r="G137" s="8">
        <f>IFERROR(INDEX(Sub_Markets!$B$5:$B$77,MATCH(D137,Sub_Markets!$A$5:$A$77,0)),C137)</f>
        <v/>
      </c>
      <c r="H137" s="6" t="inlineStr">
        <is>
          <t>EUR</t>
        </is>
      </c>
      <c r="I137" s="8">
        <f>IF(C137=G137,"Yes","No")</f>
        <v/>
      </c>
      <c r="J137" s="17" t="n">
        <v>459999999.9999999</v>
      </c>
      <c r="K137" s="6" t="inlineStr">
        <is>
          <t>Grant financing</t>
        </is>
      </c>
      <c r="L137" s="6" t="inlineStr">
        <is>
          <t>Restricted funds</t>
        </is>
      </c>
      <c r="M137" s="6" t="inlineStr">
        <is>
          <t>Restoring and protecting the seabed and marine habitats - Italia Domani</t>
        </is>
      </c>
    </row>
    <row r="138">
      <c r="A138" s="6" t="inlineStr">
        <is>
          <t>M44</t>
        </is>
      </c>
      <c r="B138" s="6" t="inlineStr">
        <is>
          <t>ITA</t>
        </is>
      </c>
      <c r="C138" s="6" t="inlineStr">
        <is>
          <t>W01</t>
        </is>
      </c>
      <c r="D138" s="6" t="inlineStr">
        <is>
          <t>WU04</t>
        </is>
      </c>
      <c r="E138" s="6" t="inlineStr">
        <is>
          <t>A more digital water network to reduce leakages and optimise water use</t>
        </is>
      </c>
      <c r="F138" s="17" t="n">
        <v>1920000000</v>
      </c>
      <c r="G138" s="8">
        <f>IFERROR(INDEX(Sub_Markets!$B$5:$B$77,MATCH(D138,Sub_Markets!$A$5:$A$77,0)),C138)</f>
        <v/>
      </c>
      <c r="H138" s="6" t="inlineStr">
        <is>
          <t>EUR</t>
        </is>
      </c>
      <c r="I138" s="8">
        <f>IF(C138=G138,"Yes","No")</f>
        <v/>
      </c>
      <c r="J138" s="17" t="n">
        <v>2208000000</v>
      </c>
      <c r="K138" s="6" t="inlineStr">
        <is>
          <t>Debt financing</t>
        </is>
      </c>
      <c r="L138" s="6" t="inlineStr">
        <is>
          <t>Term debt</t>
        </is>
      </c>
      <c r="M138" s="6" t="inlineStr">
        <is>
          <t>Reduction of leakages in water distribution networks, including digitisation and tracking of networks</t>
        </is>
      </c>
    </row>
    <row r="139">
      <c r="A139" s="6" t="inlineStr">
        <is>
          <t>M45</t>
        </is>
      </c>
      <c r="B139" s="6" t="inlineStr">
        <is>
          <t>QAT</t>
        </is>
      </c>
      <c r="C139" s="6" t="inlineStr">
        <is>
          <t>W03</t>
        </is>
      </c>
      <c r="D139" s="6" t="inlineStr">
        <is>
          <t>WU15</t>
        </is>
      </c>
      <c r="E139" s="6" t="inlineStr">
        <is>
          <t>Mega infrastructure plan with focus on water infrastructure and stormwater networks</t>
        </is>
      </c>
      <c r="F139" s="17" t="n">
        <v>22000000000</v>
      </c>
      <c r="G139" s="8">
        <f>IFERROR(INDEX(Sub_Markets!$B$5:$B$77,MATCH(D139,Sub_Markets!$A$5:$A$77,0)),C139)</f>
        <v/>
      </c>
      <c r="H139" s="6" t="inlineStr">
        <is>
          <t>USD</t>
        </is>
      </c>
      <c r="I139" s="8">
        <f>IF(C139=G139,"Yes","No")</f>
        <v/>
      </c>
      <c r="J139" s="17" t="n">
        <v>22000000000</v>
      </c>
      <c r="K139" s="6" t="inlineStr">
        <is>
          <t>Equity and debt finance</t>
        </is>
      </c>
      <c r="L139" s="6" t="inlineStr">
        <is>
          <t>Term debt</t>
        </is>
      </c>
      <c r="M139" s="6" t="inlineStr">
        <is>
          <t>Qatar to spend $22bn on water infrastructure works | AGBI</t>
        </is>
      </c>
    </row>
    <row r="140">
      <c r="A140" s="6" t="inlineStr">
        <is>
          <t>M46</t>
        </is>
      </c>
      <c r="B140" s="6" t="inlineStr">
        <is>
          <t>ARE</t>
        </is>
      </c>
      <c r="C140" s="6" t="inlineStr">
        <is>
          <t>W02</t>
        </is>
      </c>
      <c r="D140" s="6" t="inlineStr">
        <is>
          <t>WU11</t>
        </is>
      </c>
      <c r="E140" s="6" t="inlineStr">
        <is>
          <t>Saudi Arabia has announced more than 60 water projects worth SAR 35 billion (USD 9.33 billion), strengthening the Kingdom’s position as the world’s largest desalination market.</t>
        </is>
      </c>
      <c r="F140" s="17" t="n">
        <v>9300000000</v>
      </c>
      <c r="G140" s="8">
        <f>IFERROR(INDEX(Sub_Markets!$B$5:$B$77,MATCH(D140,Sub_Markets!$A$5:$A$77,0)),C140)</f>
        <v/>
      </c>
      <c r="H140" s="6" t="inlineStr">
        <is>
          <t>USD</t>
        </is>
      </c>
      <c r="I140" s="8">
        <f>IF(C140=G140,"Yes","No")</f>
        <v/>
      </c>
      <c r="J140" s="17" t="n">
        <v>9300000000</v>
      </c>
      <c r="K140" s="6" t="inlineStr">
        <is>
          <t>Equity and debt finance</t>
        </is>
      </c>
      <c r="L140" s="6" t="inlineStr">
        <is>
          <t>Term debt</t>
        </is>
      </c>
      <c r="M140" s="6" t="inlineStr">
        <is>
          <t>Equity and debt finance mix</t>
        </is>
      </c>
    </row>
    <row r="141">
      <c r="A141" s="6" t="inlineStr">
        <is>
          <t>M47</t>
        </is>
      </c>
      <c r="B141" s="6" t="inlineStr">
        <is>
          <t>ARE</t>
        </is>
      </c>
      <c r="C141" s="6" t="inlineStr">
        <is>
          <t>W03</t>
        </is>
      </c>
      <c r="D141" s="6" t="inlineStr">
        <is>
          <t>WU15</t>
        </is>
      </c>
      <c r="E141" s="6" t="inlineStr">
        <is>
          <t>Initial allocation 2026-2030 under Abu Dhabi Global Water Platform</t>
        </is>
      </c>
      <c r="F141" s="17" t="n">
        <v>2000000000</v>
      </c>
      <c r="G141" s="8">
        <f>IFERROR(INDEX(Sub_Markets!$B$5:$B$77,MATCH(D141,Sub_Markets!$A$5:$A$77,0)),C141)</f>
        <v/>
      </c>
      <c r="H141" s="6" t="inlineStr">
        <is>
          <t>USD</t>
        </is>
      </c>
      <c r="I141" s="8">
        <f>IF(C141=G141,"Yes","No")</f>
        <v/>
      </c>
      <c r="J141" s="17" t="n">
        <v>2000000000</v>
      </c>
      <c r="K141" s="6" t="inlineStr">
        <is>
          <t>Grant financing</t>
        </is>
      </c>
      <c r="L141" s="6" t="inlineStr">
        <is>
          <t>Restricted funds</t>
        </is>
      </c>
      <c r="M141" s="6" t="inlineStr">
        <is>
          <t>Abu Dhabi Fund for Development Launches “Abu Dhabi Global Water...</t>
        </is>
      </c>
    </row>
    <row r="142">
      <c r="A142" s="6" t="inlineStr">
        <is>
          <t>M48</t>
        </is>
      </c>
      <c r="B142" s="6" t="inlineStr">
        <is>
          <t>GBR</t>
        </is>
      </c>
      <c r="C142" s="6" t="inlineStr">
        <is>
          <t>AFF01</t>
        </is>
      </c>
      <c r="D142" s="6" t="inlineStr">
        <is>
          <t>FO03</t>
        </is>
      </c>
      <c r="E142" s="6" t="inlineStr">
        <is>
          <t>Incentivise the planting of high-quality woodlands and trees outside of woodland between 2026 to 2027 and 2029 to 2030</t>
        </is>
      </c>
      <c r="F142" s="17" t="n">
        <v>816000000</v>
      </c>
      <c r="G142" s="8">
        <f>IFERROR(INDEX(Sub_Markets!$B$5:$B$77,MATCH(D142,Sub_Markets!$A$5:$A$77,0)),C142)</f>
        <v/>
      </c>
      <c r="H142" s="6" t="inlineStr">
        <is>
          <t>GBP</t>
        </is>
      </c>
      <c r="I142" s="8">
        <f>IF(C142=G142,"Yes","No")</f>
        <v/>
      </c>
      <c r="J142" s="17" t="n">
        <v>1077120000</v>
      </c>
      <c r="K142" s="6" t="inlineStr">
        <is>
          <t>Grant financing</t>
        </is>
      </c>
      <c r="L142" s="6" t="inlineStr">
        <is>
          <t>Restricted funds</t>
        </is>
      </c>
      <c r="M142" s="6" t="inlineStr">
        <is>
          <t>NBSAP</t>
        </is>
      </c>
    </row>
    <row r="143">
      <c r="A143" s="6" t="inlineStr">
        <is>
          <t>M49</t>
        </is>
      </c>
      <c r="B143" s="6" t="inlineStr">
        <is>
          <t>GBR</t>
        </is>
      </c>
      <c r="C143" s="6" t="inlineStr">
        <is>
          <t>AFF01</t>
        </is>
      </c>
      <c r="D143" s="6" t="inlineStr">
        <is>
          <t>FO01</t>
        </is>
      </c>
      <c r="E143" s="6" t="inlineStr">
        <is>
          <t>Investments into new forests will see millions of trees planted in the years ahead as part of a wider commitment to tree planting and support to the forestry sector</t>
        </is>
      </c>
      <c r="F143" s="17" t="n">
        <v>1000000000</v>
      </c>
      <c r="G143" s="8">
        <f>IFERROR(INDEX(Sub_Markets!$B$5:$B$77,MATCH(D143,Sub_Markets!$A$5:$A$77,0)),C143)</f>
        <v/>
      </c>
      <c r="H143" s="6" t="inlineStr">
        <is>
          <t>GBP</t>
        </is>
      </c>
      <c r="I143" s="8">
        <f>IF(C143=G143,"Yes","No")</f>
        <v/>
      </c>
      <c r="J143" s="17" t="n">
        <v>1320000000</v>
      </c>
      <c r="K143" s="6" t="inlineStr">
        <is>
          <t>Grant financing</t>
        </is>
      </c>
      <c r="L143" s="6" t="inlineStr">
        <is>
          <t>Restricted funds</t>
        </is>
      </c>
      <c r="M143" s="6" t="inlineStr">
        <is>
          <t>NBSAP</t>
        </is>
      </c>
    </row>
    <row r="144">
      <c r="A144" s="6" t="inlineStr">
        <is>
          <t>M50</t>
        </is>
      </c>
      <c r="B144" s="6" t="inlineStr">
        <is>
          <t>GBR</t>
        </is>
      </c>
      <c r="C144" s="6" t="inlineStr">
        <is>
          <t>AFF02</t>
        </is>
      </c>
      <c r="D144" s="6" t="inlineStr">
        <is>
          <t>FO07</t>
        </is>
      </c>
      <c r="E144" s="6" t="inlineStr">
        <is>
          <t>Allocated to sustainable farming and Environmental Land Management schemes</t>
        </is>
      </c>
      <c r="F144" s="17" t="n">
        <v>2700000000</v>
      </c>
      <c r="G144" s="8">
        <f>IFERROR(INDEX(Sub_Markets!$B$5:$B$77,MATCH(D144,Sub_Markets!$A$5:$A$77,0)),C144)</f>
        <v/>
      </c>
      <c r="H144" s="6" t="inlineStr">
        <is>
          <t>GBP</t>
        </is>
      </c>
      <c r="I144" s="8">
        <f>IF(C144=G144,"Yes","No")</f>
        <v/>
      </c>
      <c r="J144" s="17" t="n">
        <v>3564000000</v>
      </c>
      <c r="K144" s="6" t="inlineStr">
        <is>
          <t>Grant financing</t>
        </is>
      </c>
      <c r="L144" s="6" t="inlineStr">
        <is>
          <t>Restricted funds</t>
        </is>
      </c>
      <c r="M144" s="6" t="inlineStr">
        <is>
          <t>NBSAP</t>
        </is>
      </c>
    </row>
    <row r="145">
      <c r="A145" s="6" t="inlineStr">
        <is>
          <t>M51</t>
        </is>
      </c>
      <c r="B145" s="6" t="inlineStr">
        <is>
          <t>GBR</t>
        </is>
      </c>
      <c r="C145" s="6" t="inlineStr">
        <is>
          <t>AFF02</t>
        </is>
      </c>
      <c r="D145" s="6" t="inlineStr">
        <is>
          <t>FO07</t>
        </is>
      </c>
      <c r="E145" s="6" t="inlineStr">
        <is>
          <t>Farming and countryside programme to farmers and land managers</t>
        </is>
      </c>
      <c r="F145" s="17" t="n">
        <v>2300000000</v>
      </c>
      <c r="G145" s="8">
        <f>IFERROR(INDEX(Sub_Markets!$B$5:$B$77,MATCH(D145,Sub_Markets!$A$5:$A$77,0)),C145)</f>
        <v/>
      </c>
      <c r="H145" s="6" t="inlineStr">
        <is>
          <t>GBP</t>
        </is>
      </c>
      <c r="I145" s="8">
        <f>IF(C145=G145,"Yes","No")</f>
        <v/>
      </c>
      <c r="J145" s="17" t="n">
        <v>3036000000</v>
      </c>
      <c r="K145" s="6" t="inlineStr">
        <is>
          <t>Grant financing</t>
        </is>
      </c>
      <c r="L145" s="6" t="inlineStr">
        <is>
          <t>Restricted funds</t>
        </is>
      </c>
      <c r="M145" s="6" t="inlineStr">
        <is>
          <t>NBSAP</t>
        </is>
      </c>
    </row>
    <row r="146">
      <c r="A146" s="6" t="inlineStr">
        <is>
          <t>M52</t>
        </is>
      </c>
      <c r="B146" s="6" t="inlineStr">
        <is>
          <t>GBR</t>
        </is>
      </c>
      <c r="C146" s="6" t="inlineStr">
        <is>
          <t>AFF03</t>
        </is>
      </c>
      <c r="D146" s="6" t="inlineStr">
        <is>
          <t>FO16</t>
        </is>
      </c>
      <c r="E146" s="6" t="inlineStr">
        <is>
          <t>Investment in fishing and coastal growth fund (2025) over 12 years for modernising UK fishing fleet, new tech and equipment</t>
        </is>
      </c>
      <c r="F146" s="17" t="n">
        <v>360000000</v>
      </c>
      <c r="G146" s="8">
        <f>IFERROR(INDEX(Sub_Markets!$B$5:$B$77,MATCH(D146,Sub_Markets!$A$5:$A$77,0)),C146)</f>
        <v/>
      </c>
      <c r="H146" s="6" t="inlineStr">
        <is>
          <t>GBP</t>
        </is>
      </c>
      <c r="I146" s="8">
        <f>IF(C146=G146,"Yes","No")</f>
        <v/>
      </c>
      <c r="J146" s="17" t="n">
        <v>475200000</v>
      </c>
      <c r="K146" s="6" t="inlineStr">
        <is>
          <t>Grant financing</t>
        </is>
      </c>
      <c r="L146" s="6" t="inlineStr">
        <is>
          <t>Restricted funds</t>
        </is>
      </c>
      <c r="M146" s="6" t="inlineStr">
        <is>
          <t>NBSAP</t>
        </is>
      </c>
    </row>
    <row r="147">
      <c r="A147" s="6" t="inlineStr">
        <is>
          <t>M53</t>
        </is>
      </c>
      <c r="B147" s="6" t="inlineStr">
        <is>
          <t>CAN</t>
        </is>
      </c>
      <c r="C147" s="6" t="inlineStr">
        <is>
          <t>AFF01</t>
        </is>
      </c>
      <c r="D147" s="6" t="inlineStr">
        <is>
          <t>FO06</t>
        </is>
      </c>
      <c r="E147" s="6" t="inlineStr">
        <is>
          <t>Loan guarantees to help forestry and lumber industry to maintain and restructure operations to be more sustainable</t>
        </is>
      </c>
      <c r="F147" s="17" t="n">
        <v>700000000</v>
      </c>
      <c r="G147" s="8">
        <f>IFERROR(INDEX(Sub_Markets!$B$5:$B$77,MATCH(D147,Sub_Markets!$A$5:$A$77,0)),C147)</f>
        <v/>
      </c>
      <c r="H147" s="6" t="inlineStr">
        <is>
          <t>CAD</t>
        </is>
      </c>
      <c r="I147" s="8">
        <f>IF(C147=G147,"Yes","No")</f>
        <v/>
      </c>
      <c r="J147" s="17" t="n">
        <v>504000000</v>
      </c>
      <c r="K147" s="6" t="inlineStr">
        <is>
          <t>Debt financing</t>
        </is>
      </c>
      <c r="L147" s="6" t="inlineStr">
        <is>
          <t>Term debt</t>
        </is>
      </c>
      <c r="M147" s="6" t="inlineStr">
        <is>
          <t>Measures to transform Canada’s softwood lumber industry - Natural Resources Canada</t>
        </is>
      </c>
    </row>
    <row r="148">
      <c r="A148" s="6" t="inlineStr">
        <is>
          <t>M54</t>
        </is>
      </c>
      <c r="B148" s="6" t="inlineStr">
        <is>
          <t>CAN</t>
        </is>
      </c>
      <c r="C148" s="6" t="inlineStr">
        <is>
          <t>AFF01</t>
        </is>
      </c>
      <c r="D148" s="6" t="inlineStr">
        <is>
          <t>FO01</t>
        </is>
      </c>
      <c r="E148" s="6" t="inlineStr">
        <is>
          <t>The 2 Billion Trees (2BT) program under the Natural Climate Solutions Fund will invest up to support provinces, territories, third-party organizations (for and not-for profit) and Indigenous organizations to plant two billion trees across Canada.</t>
        </is>
      </c>
      <c r="F148" s="17" t="n">
        <v>3200000000</v>
      </c>
      <c r="G148" s="8">
        <f>IFERROR(INDEX(Sub_Markets!$B$5:$B$77,MATCH(D148,Sub_Markets!$A$5:$A$77,0)),C148)</f>
        <v/>
      </c>
      <c r="H148" s="6" t="inlineStr">
        <is>
          <t>CAD</t>
        </is>
      </c>
      <c r="I148" s="8">
        <f>IF(C148=G148,"Yes","No")</f>
        <v/>
      </c>
      <c r="J148" s="17" t="n">
        <v>2304000000</v>
      </c>
      <c r="K148" s="6" t="inlineStr">
        <is>
          <t>Grant financing</t>
        </is>
      </c>
      <c r="L148" s="6" t="inlineStr">
        <is>
          <t>Restricted funds</t>
        </is>
      </c>
      <c r="M148" s="6" t="inlineStr">
        <is>
          <t>Government of Canada Adaptation Action Plan - Canada.ca</t>
        </is>
      </c>
    </row>
    <row r="149">
      <c r="A149" s="6" t="inlineStr">
        <is>
          <t>M55</t>
        </is>
      </c>
      <c r="B149" s="6" t="inlineStr">
        <is>
          <t>CAN</t>
        </is>
      </c>
      <c r="C149" s="6" t="inlineStr">
        <is>
          <t>AFF01</t>
        </is>
      </c>
      <c r="D149" s="6" t="inlineStr">
        <is>
          <t>FO06</t>
        </is>
      </c>
      <c r="E149" s="6" t="inlineStr">
        <is>
          <t>Budget starting in 2026 to renew and expand forest sector programs and enhance natural resources</t>
        </is>
      </c>
      <c r="F149" s="17" t="n">
        <v>500000000</v>
      </c>
      <c r="G149" s="8">
        <f>IFERROR(INDEX(Sub_Markets!$B$5:$B$77,MATCH(D149,Sub_Markets!$A$5:$A$77,0)),C149)</f>
        <v/>
      </c>
      <c r="H149" s="6" t="inlineStr">
        <is>
          <t>CAD</t>
        </is>
      </c>
      <c r="I149" s="8">
        <f>IF(C149=G149,"Yes","No")</f>
        <v/>
      </c>
      <c r="J149" s="17" t="n">
        <v>360000000</v>
      </c>
      <c r="K149" s="6" t="inlineStr">
        <is>
          <t>Grant financing</t>
        </is>
      </c>
      <c r="L149" s="6" t="inlineStr">
        <is>
          <t>Restricted funds</t>
        </is>
      </c>
      <c r="M149" s="6" t="inlineStr">
        <is>
          <t>Measures to transform Canada’s softwood lumber industry - Natural Resources Canada</t>
        </is>
      </c>
    </row>
    <row r="150">
      <c r="A150" s="6" t="inlineStr">
        <is>
          <t>M56</t>
        </is>
      </c>
      <c r="B150" s="6" t="inlineStr">
        <is>
          <t>CAN</t>
        </is>
      </c>
      <c r="C150" s="6" t="inlineStr">
        <is>
          <t>AFF02</t>
        </is>
      </c>
      <c r="D150" s="6" t="inlineStr">
        <is>
          <t>FO07</t>
        </is>
      </c>
      <c r="E150" s="6" t="inlineStr">
        <is>
          <t>Funding over 5 years in the Sustainable Canadian Agricultural Partnership</t>
        </is>
      </c>
      <c r="F150" s="17" t="n">
        <v>3500000000</v>
      </c>
      <c r="G150" s="8">
        <f>IFERROR(INDEX(Sub_Markets!$B$5:$B$77,MATCH(D150,Sub_Markets!$A$5:$A$77,0)),C150)</f>
        <v/>
      </c>
      <c r="H150" s="6" t="inlineStr">
        <is>
          <t>CAD</t>
        </is>
      </c>
      <c r="I150" s="8">
        <f>IF(C150=G150,"Yes","No")</f>
        <v/>
      </c>
      <c r="J150" s="17" t="n">
        <v>2520000000</v>
      </c>
      <c r="K150" s="6" t="inlineStr">
        <is>
          <t>Grant financing</t>
        </is>
      </c>
      <c r="L150" s="6" t="inlineStr">
        <is>
          <t>Restricted funds</t>
        </is>
      </c>
      <c r="M150" s="6" t="inlineStr">
        <is>
          <t>Sustainable Canadian Agricultural Partnership - agriculture.canada.ca</t>
        </is>
      </c>
    </row>
    <row r="151">
      <c r="A151" s="6" t="inlineStr">
        <is>
          <t>M57</t>
        </is>
      </c>
      <c r="B151" s="6" t="inlineStr">
        <is>
          <t>CAN</t>
        </is>
      </c>
      <c r="C151" s="6" t="inlineStr">
        <is>
          <t>AFF03</t>
        </is>
      </c>
      <c r="D151" s="6" t="inlineStr">
        <is>
          <t>FO19</t>
        </is>
      </c>
      <c r="E151" s="6" t="inlineStr">
        <is>
          <t>Funding to draw on expertise of oil spill experts in Canada to respond to oil spills.</t>
        </is>
      </c>
      <c r="F151" s="17" t="n">
        <v>45500000</v>
      </c>
      <c r="G151" s="8">
        <f>IFERROR(INDEX(Sub_Markets!$B$5:$B$77,MATCH(D151,Sub_Markets!$A$5:$A$77,0)),C151)</f>
        <v/>
      </c>
      <c r="H151" s="6" t="inlineStr">
        <is>
          <t>CAD</t>
        </is>
      </c>
      <c r="I151" s="8">
        <f>IF(C151=G151,"Yes","No")</f>
        <v/>
      </c>
      <c r="J151" s="17" t="n">
        <v>32760000</v>
      </c>
      <c r="K151" s="6" t="inlineStr">
        <is>
          <t>Grant financing</t>
        </is>
      </c>
      <c r="L151" s="6" t="inlineStr">
        <is>
          <t>Accelerators</t>
        </is>
      </c>
      <c r="M151" s="6" t="inlineStr">
        <is>
          <t>Canada Oceans Protection Plan</t>
        </is>
      </c>
    </row>
    <row r="152">
      <c r="A152" s="6" t="inlineStr">
        <is>
          <t>M58</t>
        </is>
      </c>
      <c r="B152" s="6" t="inlineStr">
        <is>
          <t>CAN</t>
        </is>
      </c>
      <c r="C152" s="6" t="inlineStr">
        <is>
          <t>AFF03</t>
        </is>
      </c>
      <c r="D152" s="6" t="inlineStr">
        <is>
          <t>FO15</t>
        </is>
      </c>
      <c r="E152" s="6" t="inlineStr">
        <is>
          <t>Investment  to restore vulnerable Pacific salmon populations and their habitat, support sustainable 
fishing opportunities, combat illegal fishing on the high seas, and reduce pressures on at risk stocks.</t>
        </is>
      </c>
      <c r="F152" s="17" t="n">
        <v>412900000</v>
      </c>
      <c r="G152" s="8">
        <f>IFERROR(INDEX(Sub_Markets!$B$5:$B$77,MATCH(D152,Sub_Markets!$A$5:$A$77,0)),C152)</f>
        <v/>
      </c>
      <c r="H152" s="6" t="inlineStr">
        <is>
          <t>CAD</t>
        </is>
      </c>
      <c r="I152" s="8">
        <f>IF(C152=G152,"Yes","No")</f>
        <v/>
      </c>
      <c r="J152" s="17" t="n">
        <v>297288000</v>
      </c>
      <c r="K152" s="6" t="inlineStr">
        <is>
          <t>Grant financing</t>
        </is>
      </c>
      <c r="L152" s="6" t="inlineStr">
        <is>
          <t>Restricted funds</t>
        </is>
      </c>
      <c r="M152" s="6" t="inlineStr">
        <is>
          <t>Summary of British Columbia Salmon Restoration and Innovation Fund 2019 to 2026</t>
        </is>
      </c>
    </row>
    <row r="153">
      <c r="A153" s="6" t="inlineStr">
        <is>
          <t>M59</t>
        </is>
      </c>
      <c r="B153" s="6" t="inlineStr">
        <is>
          <t>CAN</t>
        </is>
      </c>
      <c r="C153" s="6" t="inlineStr">
        <is>
          <t>AFF03</t>
        </is>
      </c>
      <c r="D153" s="6" t="inlineStr">
        <is>
          <t>FO15</t>
        </is>
      </c>
      <c r="E153" s="6" t="inlineStr">
        <is>
          <t>Investment over five years to stabilize and rebuild wild Atlantic Salmon populations through targeted restoration of up to 10,000 km2 of Atlantic salmon habitat and monitoring in approximately 50 rivers, and partnerships with Indigenous communities and stewardship organizations.</t>
        </is>
      </c>
      <c r="F153" s="17" t="n">
        <v>81700000</v>
      </c>
      <c r="G153" s="8">
        <f>IFERROR(INDEX(Sub_Markets!$B$5:$B$77,MATCH(D153,Sub_Markets!$A$5:$A$77,0)),C153)</f>
        <v/>
      </c>
      <c r="H153" s="6" t="inlineStr">
        <is>
          <t>CAD</t>
        </is>
      </c>
      <c r="I153" s="8">
        <f>IF(C153=G153,"Yes","No")</f>
        <v/>
      </c>
      <c r="J153" s="17" t="n">
        <v>58824000</v>
      </c>
      <c r="K153" s="6" t="inlineStr">
        <is>
          <t>Grant financing</t>
        </is>
      </c>
      <c r="L153" s="6" t="inlineStr">
        <is>
          <t>Restricted funds</t>
        </is>
      </c>
      <c r="M153" s="6" t="inlineStr">
        <is>
          <t>Summary of British Columbia Salmon Restoration and Innovation Fund 2019 to 2026</t>
        </is>
      </c>
    </row>
    <row r="154">
      <c r="A154" s="6" t="inlineStr">
        <is>
          <t>M60</t>
        </is>
      </c>
      <c r="B154" s="6" t="inlineStr">
        <is>
          <t>CAN</t>
        </is>
      </c>
      <c r="C154" s="6" t="inlineStr">
        <is>
          <t>AFF01</t>
        </is>
      </c>
      <c r="D154" s="6" t="inlineStr">
        <is>
          <t>FO03</t>
        </is>
      </c>
      <c r="E154" s="6" t="inlineStr">
        <is>
          <t>Establishment of national protected areas</t>
        </is>
      </c>
      <c r="F154" s="17" t="n">
        <v>266700000</v>
      </c>
      <c r="G154" s="8">
        <f>IFERROR(INDEX(Sub_Markets!$B$5:$B$77,MATCH(D154,Sub_Markets!$A$5:$A$77,0)),C154)</f>
        <v/>
      </c>
      <c r="H154" s="6" t="inlineStr">
        <is>
          <t>CAD</t>
        </is>
      </c>
      <c r="I154" s="8">
        <f>IF(C154=G154,"Yes","No")</f>
        <v/>
      </c>
      <c r="J154" s="17" t="n">
        <v>192024000</v>
      </c>
      <c r="K154" s="6" t="inlineStr">
        <is>
          <t>Grant financing</t>
        </is>
      </c>
      <c r="L154" s="6" t="inlineStr">
        <is>
          <t>Restricted funds</t>
        </is>
      </c>
      <c r="M154" s="6" t="inlineStr">
        <is>
          <t xml:space="preserve"> A Force of Nature: Canada’s Strategy to Protect Nature</t>
        </is>
      </c>
    </row>
    <row r="155">
      <c r="A155" s="6" t="inlineStr">
        <is>
          <t>M61</t>
        </is>
      </c>
      <c r="B155" s="6" t="inlineStr">
        <is>
          <t>CAN</t>
        </is>
      </c>
      <c r="C155" s="6" t="inlineStr">
        <is>
          <t>AFF03</t>
        </is>
      </c>
      <c r="D155" s="6" t="inlineStr">
        <is>
          <t>FO15</t>
        </is>
      </c>
      <c r="E155" s="6" t="inlineStr">
        <is>
          <t>Funding to protect fish and fish habitat and ensure that development in or near water is done responsibly.</t>
        </is>
      </c>
      <c r="F155" s="17" t="n">
        <v>326600000</v>
      </c>
      <c r="G155" s="8">
        <f>IFERROR(INDEX(Sub_Markets!$B$5:$B$77,MATCH(D155,Sub_Markets!$A$5:$A$77,0)),C155)</f>
        <v/>
      </c>
      <c r="H155" s="6" t="inlineStr">
        <is>
          <t>CAD</t>
        </is>
      </c>
      <c r="I155" s="8">
        <f>IF(C155=G155,"Yes","No")</f>
        <v/>
      </c>
      <c r="J155" s="17" t="n">
        <v>235152000</v>
      </c>
      <c r="K155" s="6" t="inlineStr">
        <is>
          <t>Grant financing</t>
        </is>
      </c>
      <c r="L155" s="6" t="inlineStr">
        <is>
          <t>Restricted funds</t>
        </is>
      </c>
      <c r="M155" s="6" t="inlineStr">
        <is>
          <t xml:space="preserve"> A Force of Nature: Canada’s Strategy to Protect Nature</t>
        </is>
      </c>
    </row>
    <row r="156">
      <c r="A156" s="6" t="inlineStr">
        <is>
          <t>M62</t>
        </is>
      </c>
      <c r="B156" s="6" t="inlineStr">
        <is>
          <t>CAN</t>
        </is>
      </c>
      <c r="C156" s="6" t="inlineStr">
        <is>
          <t>AFF03</t>
        </is>
      </c>
      <c r="D156" s="6" t="inlineStr">
        <is>
          <t>FO18</t>
        </is>
      </c>
      <c r="E156" s="6" t="inlineStr">
        <is>
          <t>Great Bear Sea Project Financing for Permeance to support First Nations to implement Marine Protect Plan Partnership</t>
        </is>
      </c>
      <c r="F156" s="17" t="n">
        <v>60000000</v>
      </c>
      <c r="G156" s="8">
        <f>IFERROR(INDEX(Sub_Markets!$B$5:$B$77,MATCH(D156,Sub_Markets!$A$5:$A$77,0)),C156)</f>
        <v/>
      </c>
      <c r="H156" s="6" t="inlineStr">
        <is>
          <t>CAD</t>
        </is>
      </c>
      <c r="I156" s="8">
        <f>IF(C156=G156,"Yes","No")</f>
        <v/>
      </c>
      <c r="J156" s="17" t="n">
        <v>43200000</v>
      </c>
      <c r="K156" s="6" t="inlineStr">
        <is>
          <t>Grant financing</t>
        </is>
      </c>
      <c r="L156" s="6" t="inlineStr">
        <is>
          <t>Restricted funds</t>
        </is>
      </c>
      <c r="M156" s="6" t="inlineStr">
        <is>
          <t xml:space="preserve">NBSAP </t>
        </is>
      </c>
    </row>
    <row r="157">
      <c r="A157" s="6" t="inlineStr">
        <is>
          <t>M63</t>
        </is>
      </c>
      <c r="B157" s="6" t="inlineStr">
        <is>
          <t>FRA</t>
        </is>
      </c>
      <c r="C157" s="6" t="inlineStr">
        <is>
          <t>AFF01</t>
        </is>
      </c>
      <c r="D157" s="6" t="inlineStr">
        <is>
          <t>FO02</t>
        </is>
      </c>
      <c r="E157" s="6" t="inlineStr">
        <is>
          <t>Rewilding and forest regeneration investment as part of Green Fund</t>
        </is>
      </c>
      <c r="F157" s="17" t="n">
        <v>100000000</v>
      </c>
      <c r="G157" s="8">
        <f>IFERROR(INDEX(Sub_Markets!$B$5:$B$77,MATCH(D157,Sub_Markets!$A$5:$A$77,0)),C157)</f>
        <v/>
      </c>
      <c r="H157" s="6" t="inlineStr">
        <is>
          <t>EUR</t>
        </is>
      </c>
      <c r="I157" s="8">
        <f>IF(C157=G157,"Yes","No")</f>
        <v/>
      </c>
      <c r="J157" s="17" t="n">
        <v>115000000</v>
      </c>
      <c r="K157" s="6" t="inlineStr">
        <is>
          <t>Grant financing</t>
        </is>
      </c>
      <c r="L157" s="6" t="inlineStr">
        <is>
          <t>Restricted funds</t>
        </is>
      </c>
      <c r="M157" s="6" t="inlineStr">
        <is>
          <t>NBSAP</t>
        </is>
      </c>
    </row>
    <row r="158">
      <c r="A158" s="6" t="inlineStr">
        <is>
          <t>M64</t>
        </is>
      </c>
      <c r="B158" s="6" t="inlineStr">
        <is>
          <t>FRA</t>
        </is>
      </c>
      <c r="C158" s="6" t="inlineStr">
        <is>
          <t>AFF01</t>
        </is>
      </c>
      <c r="D158" s="6" t="inlineStr">
        <is>
          <t>FO04</t>
        </is>
      </c>
      <c r="E158" s="6" t="inlineStr">
        <is>
          <t>Investment for improvement of biodiversity in forest environments</t>
        </is>
      </c>
      <c r="F158" s="17" t="n">
        <v>15000000</v>
      </c>
      <c r="G158" s="8">
        <f>IFERROR(INDEX(Sub_Markets!$B$5:$B$77,MATCH(D158,Sub_Markets!$A$5:$A$77,0)),C158)</f>
        <v/>
      </c>
      <c r="H158" s="6" t="inlineStr">
        <is>
          <t>EUR</t>
        </is>
      </c>
      <c r="I158" s="8">
        <f>IF(C158=G158,"Yes","No")</f>
        <v/>
      </c>
      <c r="J158" s="17" t="n">
        <v>17250000</v>
      </c>
      <c r="K158" s="6" t="inlineStr">
        <is>
          <t>Grant financing</t>
        </is>
      </c>
      <c r="L158" s="6" t="inlineStr">
        <is>
          <t>Restricted funds</t>
        </is>
      </c>
      <c r="M158" s="6" t="inlineStr">
        <is>
          <t>NBSAP</t>
        </is>
      </c>
    </row>
    <row r="159">
      <c r="A159" s="6" t="inlineStr">
        <is>
          <t>M65</t>
        </is>
      </c>
      <c r="B159" s="6" t="inlineStr">
        <is>
          <t>FRA</t>
        </is>
      </c>
      <c r="C159" s="6" t="inlineStr">
        <is>
          <t>AFF02</t>
        </is>
      </c>
      <c r="D159" s="6" t="inlineStr">
        <is>
          <t>FO08</t>
        </is>
      </c>
      <c r="E159" s="6" t="inlineStr">
        <is>
          <t>Amount earmarked for soil restoration from public fundings</t>
        </is>
      </c>
      <c r="F159" s="17" t="n">
        <v>6000000</v>
      </c>
      <c r="G159" s="8">
        <f>IFERROR(INDEX(Sub_Markets!$B$5:$B$77,MATCH(D159,Sub_Markets!$A$5:$A$77,0)),C159)</f>
        <v/>
      </c>
      <c r="H159" s="6" t="inlineStr">
        <is>
          <t>EUR</t>
        </is>
      </c>
      <c r="I159" s="8">
        <f>IF(C159=G159,"Yes","No")</f>
        <v/>
      </c>
      <c r="J159" s="17" t="n">
        <v>6899999.999999999</v>
      </c>
      <c r="K159" s="6" t="inlineStr">
        <is>
          <t>Grant financing</t>
        </is>
      </c>
      <c r="L159" s="6" t="inlineStr">
        <is>
          <t>Restricted funds</t>
        </is>
      </c>
      <c r="M159" s="6" t="inlineStr">
        <is>
          <t>NBSAP</t>
        </is>
      </c>
    </row>
    <row r="160">
      <c r="A160" s="6" t="inlineStr">
        <is>
          <t>M66</t>
        </is>
      </c>
      <c r="B160" s="6" t="inlineStr">
        <is>
          <t>FRA</t>
        </is>
      </c>
      <c r="C160" s="6" t="inlineStr">
        <is>
          <t>AFF02</t>
        </is>
      </c>
      <c r="D160" s="6" t="inlineStr">
        <is>
          <t>FO09</t>
        </is>
      </c>
      <c r="E160" s="6" t="inlineStr">
        <is>
          <t>Amount for ecosystem restoration including agricultural ecosystems</t>
        </is>
      </c>
      <c r="F160" s="17" t="n">
        <v>80000000</v>
      </c>
      <c r="G160" s="8">
        <f>IFERROR(INDEX(Sub_Markets!$B$5:$B$77,MATCH(D160,Sub_Markets!$A$5:$A$77,0)),C160)</f>
        <v/>
      </c>
      <c r="H160" s="6" t="inlineStr">
        <is>
          <t>EUR</t>
        </is>
      </c>
      <c r="I160" s="8">
        <f>IF(C160=G160,"Yes","No")</f>
        <v/>
      </c>
      <c r="J160" s="17" t="n">
        <v>92000000</v>
      </c>
      <c r="K160" s="6" t="inlineStr">
        <is>
          <t>Grant financing</t>
        </is>
      </c>
      <c r="L160" s="6" t="inlineStr">
        <is>
          <t>Restricted funds</t>
        </is>
      </c>
      <c r="M160" s="6" t="inlineStr">
        <is>
          <t>NBSAP</t>
        </is>
      </c>
    </row>
    <row r="161">
      <c r="A161" s="6" t="inlineStr">
        <is>
          <t>M67</t>
        </is>
      </c>
      <c r="B161" s="6" t="inlineStr">
        <is>
          <t>FRA</t>
        </is>
      </c>
      <c r="C161" s="6" t="inlineStr">
        <is>
          <t>AFF02</t>
        </is>
      </c>
      <c r="D161" s="6" t="inlineStr">
        <is>
          <t>FO12</t>
        </is>
      </c>
      <c r="E161" s="6" t="inlineStr">
        <is>
          <t>Investment into agro-ecology and digital agricultural research programmes targeting biodiversity-positive farming</t>
        </is>
      </c>
      <c r="F161" s="17" t="n">
        <v>65000000</v>
      </c>
      <c r="G161" s="8">
        <f>IFERROR(INDEX(Sub_Markets!$B$5:$B$77,MATCH(D161,Sub_Markets!$A$5:$A$77,0)),C161)</f>
        <v/>
      </c>
      <c r="H161" s="6" t="inlineStr">
        <is>
          <t>EUR</t>
        </is>
      </c>
      <c r="I161" s="8">
        <f>IF(C161=G161,"Yes","No")</f>
        <v/>
      </c>
      <c r="J161" s="17" t="n">
        <v>74750000</v>
      </c>
      <c r="K161" s="6" t="inlineStr">
        <is>
          <t>Grant financing</t>
        </is>
      </c>
      <c r="L161" s="6" t="inlineStr">
        <is>
          <t>Accelerators</t>
        </is>
      </c>
      <c r="M161" s="6" t="inlineStr">
        <is>
          <t>France 2030 | Agro-ecology and digital technology: the state invests €65 million in a new research programme | Inria</t>
        </is>
      </c>
    </row>
    <row r="162">
      <c r="A162" s="6" t="inlineStr">
        <is>
          <t>M68</t>
        </is>
      </c>
      <c r="B162" s="6" t="inlineStr">
        <is>
          <t>FRA</t>
        </is>
      </c>
      <c r="C162" s="6" t="inlineStr">
        <is>
          <t>AFF03</t>
        </is>
      </c>
      <c r="D162" s="6" t="inlineStr">
        <is>
          <t>FO17</t>
        </is>
      </c>
      <c r="E162" s="6" t="inlineStr">
        <is>
          <t>Earmarked funding for marine environments</t>
        </is>
      </c>
      <c r="F162" s="17" t="n">
        <v>6000000</v>
      </c>
      <c r="G162" s="8">
        <f>IFERROR(INDEX(Sub_Markets!$B$5:$B$77,MATCH(D162,Sub_Markets!$A$5:$A$77,0)),C162)</f>
        <v/>
      </c>
      <c r="H162" s="6" t="inlineStr">
        <is>
          <t>EUR</t>
        </is>
      </c>
      <c r="I162" s="8">
        <f>IF(C162=G162,"Yes","No")</f>
        <v/>
      </c>
      <c r="J162" s="17" t="n">
        <v>6899999.999999999</v>
      </c>
      <c r="K162" s="6" t="inlineStr">
        <is>
          <t>Grant financing</t>
        </is>
      </c>
      <c r="L162" s="6" t="inlineStr">
        <is>
          <t>Restricted funds</t>
        </is>
      </c>
      <c r="M162" s="6" t="inlineStr">
        <is>
          <t>NBSAP</t>
        </is>
      </c>
    </row>
    <row r="163">
      <c r="A163" s="6" t="inlineStr">
        <is>
          <t>M69</t>
        </is>
      </c>
      <c r="B163" s="6" t="inlineStr">
        <is>
          <t>FRA</t>
        </is>
      </c>
      <c r="C163" s="6" t="inlineStr">
        <is>
          <t>AFF03</t>
        </is>
      </c>
      <c r="D163" s="6" t="inlineStr">
        <is>
          <t>FO14</t>
        </is>
      </c>
      <c r="E163" s="6" t="inlineStr">
        <is>
          <t>National funding from EMFAF Programme for France to support sustainable and green fishing and aquaculture</t>
        </is>
      </c>
      <c r="F163" s="17" t="n">
        <v>793300000</v>
      </c>
      <c r="G163" s="8">
        <f>IFERROR(INDEX(Sub_Markets!$B$5:$B$77,MATCH(D163,Sub_Markets!$A$5:$A$77,0)),C163)</f>
        <v/>
      </c>
      <c r="H163" s="6" t="inlineStr">
        <is>
          <t>EUR</t>
        </is>
      </c>
      <c r="I163" s="8">
        <f>IF(C163=G163,"Yes","No")</f>
        <v/>
      </c>
      <c r="J163" s="17" t="n">
        <v>912294999.9999999</v>
      </c>
      <c r="K163" s="6" t="inlineStr">
        <is>
          <t>Grant financing</t>
        </is>
      </c>
      <c r="L163" s="6" t="inlineStr">
        <is>
          <t>Restricted funds</t>
        </is>
      </c>
      <c r="M163" s="6" t="inlineStr">
        <is>
          <t>EMFAF website</t>
        </is>
      </c>
    </row>
    <row r="164">
      <c r="A164" s="6" t="inlineStr">
        <is>
          <t>M70</t>
        </is>
      </c>
      <c r="B164" s="6" t="inlineStr">
        <is>
          <t>ESP</t>
        </is>
      </c>
      <c r="C164" s="6" t="inlineStr">
        <is>
          <t>AFF01</t>
        </is>
      </c>
      <c r="D164" s="6" t="inlineStr">
        <is>
          <t>FO04</t>
        </is>
      </c>
      <c r="E164" s="6" t="inlineStr">
        <is>
          <t>Investment for the implementation of forest strategy</t>
        </is>
      </c>
      <c r="F164" s="17" t="n">
        <v>2625000</v>
      </c>
      <c r="G164" s="8">
        <f>IFERROR(INDEX(Sub_Markets!$B$5:$B$77,MATCH(D164,Sub_Markets!$A$5:$A$77,0)),C164)</f>
        <v/>
      </c>
      <c r="H164" s="6" t="inlineStr">
        <is>
          <t>EUR</t>
        </is>
      </c>
      <c r="I164" s="8">
        <f>IF(C164=G164,"Yes","No")</f>
        <v/>
      </c>
      <c r="J164" s="17" t="n">
        <v>3018750</v>
      </c>
      <c r="K164" s="6" t="inlineStr">
        <is>
          <t>Grant financing</t>
        </is>
      </c>
      <c r="L164" s="6" t="inlineStr">
        <is>
          <t>Restricted funds</t>
        </is>
      </c>
      <c r="M164" s="6" t="inlineStr">
        <is>
          <t>Spanish Forestry Plan 2032</t>
        </is>
      </c>
    </row>
    <row r="165">
      <c r="A165" s="6" t="inlineStr">
        <is>
          <t>M71</t>
        </is>
      </c>
      <c r="B165" s="6" t="inlineStr">
        <is>
          <t>ESP</t>
        </is>
      </c>
      <c r="C165" s="6" t="inlineStr">
        <is>
          <t>AFF02</t>
        </is>
      </c>
      <c r="D165" s="6" t="inlineStr">
        <is>
          <t>FO07</t>
        </is>
      </c>
      <c r="E165" s="6" t="inlineStr">
        <is>
          <t>Enhancing sustainability of agricultural sector through farm modernisation</t>
        </is>
      </c>
      <c r="F165" s="17" t="n">
        <v>1670000000</v>
      </c>
      <c r="G165" s="8">
        <f>IFERROR(INDEX(Sub_Markets!$B$5:$B$77,MATCH(D165,Sub_Markets!$A$5:$A$77,0)),C165)</f>
        <v/>
      </c>
      <c r="H165" s="6" t="inlineStr">
        <is>
          <t>EUR</t>
        </is>
      </c>
      <c r="I165" s="8">
        <f>IF(C165=G165,"Yes","No")</f>
        <v/>
      </c>
      <c r="J165" s="17" t="n">
        <v>1920500000</v>
      </c>
      <c r="K165" s="6" t="inlineStr">
        <is>
          <t>Grant financing</t>
        </is>
      </c>
      <c r="L165" s="6" t="inlineStr">
        <is>
          <t>Restricted funds</t>
        </is>
      </c>
      <c r="M165" s="6" t="inlineStr">
        <is>
          <t>Spain CAP Strategy</t>
        </is>
      </c>
    </row>
    <row r="166">
      <c r="A166" s="6" t="inlineStr">
        <is>
          <t>M72</t>
        </is>
      </c>
      <c r="B166" s="6" t="inlineStr">
        <is>
          <t>ESP</t>
        </is>
      </c>
      <c r="C166" s="6" t="inlineStr">
        <is>
          <t>AFF02</t>
        </is>
      </c>
      <c r="D166" s="6" t="inlineStr">
        <is>
          <t>FO07</t>
        </is>
      </c>
      <c r="E166" s="6" t="inlineStr">
        <is>
          <t>CAP payments for farmers committing to  more ambitious actions (such 
as carbon sequestration and maintenance of landscape features).</t>
        </is>
      </c>
      <c r="F166" s="17" t="n">
        <v>5500000000</v>
      </c>
      <c r="G166" s="8">
        <f>IFERROR(INDEX(Sub_Markets!$B$5:$B$77,MATCH(D166,Sub_Markets!$A$5:$A$77,0)),C166)</f>
        <v/>
      </c>
      <c r="H166" s="6" t="inlineStr">
        <is>
          <t>EUR</t>
        </is>
      </c>
      <c r="I166" s="8">
        <f>IF(C166=G166,"Yes","No")</f>
        <v/>
      </c>
      <c r="J166" s="17" t="n">
        <v>6324999999.999999</v>
      </c>
      <c r="K166" s="6" t="inlineStr">
        <is>
          <t>Grant financing</t>
        </is>
      </c>
      <c r="L166" s="6" t="inlineStr">
        <is>
          <t>Restricted funds</t>
        </is>
      </c>
      <c r="M166" s="6" t="inlineStr">
        <is>
          <t>Spain CAP Strategy</t>
        </is>
      </c>
    </row>
    <row r="167">
      <c r="A167" s="6" t="inlineStr">
        <is>
          <t>M73</t>
        </is>
      </c>
      <c r="B167" s="6" t="inlineStr">
        <is>
          <t>ESP</t>
        </is>
      </c>
      <c r="C167" s="6" t="inlineStr">
        <is>
          <t>AFF02</t>
        </is>
      </c>
      <c r="D167" s="6" t="inlineStr">
        <is>
          <t>FO09</t>
        </is>
      </c>
      <c r="E167" s="6" t="inlineStr">
        <is>
          <t>Interventions beneficial for climate, the environment and animal welfare, such as sustainable management of pastures, through extensive grazing and transhumance, protection of birds by limiting the use of fertilisers and pesticides or fight against erosion through cover crops and minimum tillage.</t>
        </is>
      </c>
      <c r="F167" s="17" t="n">
        <v>2740000000</v>
      </c>
      <c r="G167" s="8">
        <f>IFERROR(INDEX(Sub_Markets!$B$5:$B$77,MATCH(D167,Sub_Markets!$A$5:$A$77,0)),C167)</f>
        <v/>
      </c>
      <c r="H167" s="6" t="inlineStr">
        <is>
          <t>EUR</t>
        </is>
      </c>
      <c r="I167" s="8">
        <f>IF(C167=G167,"Yes","No")</f>
        <v/>
      </c>
      <c r="J167" s="17" t="n">
        <v>3151000000</v>
      </c>
      <c r="K167" s="6" t="inlineStr">
        <is>
          <t>Grant financing</t>
        </is>
      </c>
      <c r="L167" s="6" t="inlineStr">
        <is>
          <t>Restricted funds</t>
        </is>
      </c>
      <c r="M167" s="6" t="inlineStr">
        <is>
          <t>Spain CAP Strategy</t>
        </is>
      </c>
    </row>
    <row r="168">
      <c r="A168" s="6" t="inlineStr">
        <is>
          <t>M74</t>
        </is>
      </c>
      <c r="B168" s="6" t="inlineStr">
        <is>
          <t>ESP</t>
        </is>
      </c>
      <c r="C168" s="6" t="inlineStr">
        <is>
          <t>AFF03</t>
        </is>
      </c>
      <c r="D168" s="6" t="inlineStr">
        <is>
          <t>FO14</t>
        </is>
      </c>
      <c r="E168" s="6" t="inlineStr">
        <is>
          <t>National funding from EMFAF Programme to support sustainable to support sustainable fisheries</t>
        </is>
      </c>
      <c r="F168" s="17" t="n">
        <v>645270000</v>
      </c>
      <c r="G168" s="8">
        <f>IFERROR(INDEX(Sub_Markets!$B$5:$B$77,MATCH(D168,Sub_Markets!$A$5:$A$77,0)),C168)</f>
        <v/>
      </c>
      <c r="H168" s="6" t="inlineStr">
        <is>
          <t>EUR</t>
        </is>
      </c>
      <c r="I168" s="8">
        <f>IF(C168=G168,"Yes","No")</f>
        <v/>
      </c>
      <c r="J168" s="17" t="n">
        <v>742060500</v>
      </c>
      <c r="K168" s="6" t="inlineStr">
        <is>
          <t>Grant financing</t>
        </is>
      </c>
      <c r="L168" s="6" t="inlineStr">
        <is>
          <t>Restricted funds</t>
        </is>
      </c>
      <c r="M168" s="6" t="inlineStr">
        <is>
          <t>EMFAF website</t>
        </is>
      </c>
    </row>
    <row r="169">
      <c r="A169" s="6" t="inlineStr">
        <is>
          <t>M75</t>
        </is>
      </c>
      <c r="B169" s="6" t="inlineStr">
        <is>
          <t>ESP</t>
        </is>
      </c>
      <c r="C169" s="6" t="inlineStr">
        <is>
          <t>AFF03</t>
        </is>
      </c>
      <c r="D169" s="6" t="inlineStr">
        <is>
          <t>FO15</t>
        </is>
      </c>
      <c r="E169" s="6" t="inlineStr">
        <is>
          <t>National funding from EMFAF Programme to support sustainable to support sustainable aquaculture</t>
        </is>
      </c>
      <c r="F169" s="17" t="n">
        <v>400350000</v>
      </c>
      <c r="G169" s="8">
        <f>IFERROR(INDEX(Sub_Markets!$B$5:$B$77,MATCH(D169,Sub_Markets!$A$5:$A$77,0)),C169)</f>
        <v/>
      </c>
      <c r="H169" s="6" t="inlineStr">
        <is>
          <t>EUR</t>
        </is>
      </c>
      <c r="I169" s="8">
        <f>IF(C169=G169,"Yes","No")</f>
        <v/>
      </c>
      <c r="J169" s="17" t="n">
        <v>460402499.9999999</v>
      </c>
      <c r="K169" s="6" t="inlineStr">
        <is>
          <t>Grant financing</t>
        </is>
      </c>
      <c r="L169" s="6" t="inlineStr">
        <is>
          <t>Restricted funds</t>
        </is>
      </c>
      <c r="M169" s="6" t="inlineStr">
        <is>
          <t>EMFAF website</t>
        </is>
      </c>
    </row>
    <row r="170">
      <c r="A170" s="6" t="inlineStr">
        <is>
          <t>M76</t>
        </is>
      </c>
      <c r="B170" s="6" t="inlineStr">
        <is>
          <t>ESP</t>
        </is>
      </c>
      <c r="C170" s="6" t="inlineStr">
        <is>
          <t>AFF03</t>
        </is>
      </c>
      <c r="D170" s="6" t="inlineStr">
        <is>
          <t>FO19</t>
        </is>
      </c>
      <c r="E170" s="6" t="inlineStr">
        <is>
          <t>National funding from EMFAF Programme to support blue economy</t>
        </is>
      </c>
      <c r="F170" s="17" t="n">
        <v>147580000</v>
      </c>
      <c r="G170" s="8">
        <f>IFERROR(INDEX(Sub_Markets!$B$5:$B$77,MATCH(D170,Sub_Markets!$A$5:$A$77,0)),C170)</f>
        <v/>
      </c>
      <c r="H170" s="6" t="inlineStr">
        <is>
          <t>EUR</t>
        </is>
      </c>
      <c r="I170" s="8">
        <f>IF(C170=G170,"Yes","No")</f>
        <v/>
      </c>
      <c r="J170" s="17" t="n">
        <v>169717000</v>
      </c>
      <c r="K170" s="6" t="inlineStr">
        <is>
          <t>Grant financing</t>
        </is>
      </c>
      <c r="L170" s="6" t="inlineStr">
        <is>
          <t>Restricted funds</t>
        </is>
      </c>
      <c r="M170" s="6" t="inlineStr">
        <is>
          <t>EMFAF website</t>
        </is>
      </c>
    </row>
    <row r="171">
      <c r="A171" s="6" t="inlineStr">
        <is>
          <t>M77</t>
        </is>
      </c>
      <c r="B171" s="6" t="inlineStr">
        <is>
          <t>ESP</t>
        </is>
      </c>
      <c r="C171" s="6" t="inlineStr">
        <is>
          <t>AFF03</t>
        </is>
      </c>
      <c r="D171" s="6" t="inlineStr">
        <is>
          <t>FO14</t>
        </is>
      </c>
      <c r="E171" s="6" t="inlineStr">
        <is>
          <t>National funding from EMFAF Programme to support Canary Island fisheries</t>
        </is>
      </c>
      <c r="F171" s="17" t="n">
        <v>81640000</v>
      </c>
      <c r="G171" s="8">
        <f>IFERROR(INDEX(Sub_Markets!$B$5:$B$77,MATCH(D171,Sub_Markets!$A$5:$A$77,0)),C171)</f>
        <v/>
      </c>
      <c r="H171" s="6" t="inlineStr">
        <is>
          <t>EUR</t>
        </is>
      </c>
      <c r="I171" s="8">
        <f>IF(C171=G171,"Yes","No")</f>
        <v/>
      </c>
      <c r="J171" s="17" t="n">
        <v>93886000</v>
      </c>
      <c r="K171" s="6" t="inlineStr">
        <is>
          <t>Grant financing</t>
        </is>
      </c>
      <c r="L171" s="6" t="inlineStr">
        <is>
          <t>Restricted funds</t>
        </is>
      </c>
      <c r="M171" s="6" t="inlineStr">
        <is>
          <t>EMFAF website</t>
        </is>
      </c>
    </row>
    <row r="172">
      <c r="A172" s="6" t="inlineStr">
        <is>
          <t>M78</t>
        </is>
      </c>
      <c r="B172" s="6" t="inlineStr">
        <is>
          <t>ESP</t>
        </is>
      </c>
      <c r="C172" s="6" t="inlineStr">
        <is>
          <t>AFF03</t>
        </is>
      </c>
      <c r="D172" s="6" t="inlineStr">
        <is>
          <t>FO19</t>
        </is>
      </c>
      <c r="E172" s="6" t="inlineStr">
        <is>
          <t>National funding from EMFAF Programme to support ocean governance</t>
        </is>
      </c>
      <c r="F172" s="17" t="n">
        <v>50240000</v>
      </c>
      <c r="G172" s="8">
        <f>IFERROR(INDEX(Sub_Markets!$B$5:$B$77,MATCH(D172,Sub_Markets!$A$5:$A$77,0)),C172)</f>
        <v/>
      </c>
      <c r="H172" s="6" t="inlineStr">
        <is>
          <t>EUR</t>
        </is>
      </c>
      <c r="I172" s="8">
        <f>IF(C172=G172,"Yes","No")</f>
        <v/>
      </c>
      <c r="J172" s="17" t="n">
        <v>57775999.99999999</v>
      </c>
      <c r="K172" s="6" t="inlineStr">
        <is>
          <t>Grant financing</t>
        </is>
      </c>
      <c r="L172" s="6" t="inlineStr">
        <is>
          <t>Restricted funds</t>
        </is>
      </c>
      <c r="M172" s="6" t="inlineStr">
        <is>
          <t>EMFAF website</t>
        </is>
      </c>
    </row>
    <row r="173">
      <c r="A173" s="6" t="inlineStr">
        <is>
          <t>M79</t>
        </is>
      </c>
      <c r="B173" s="6" t="inlineStr">
        <is>
          <t>ESP</t>
        </is>
      </c>
      <c r="C173" s="6" t="inlineStr">
        <is>
          <t>AFF01</t>
        </is>
      </c>
      <c r="D173" s="6" t="inlineStr">
        <is>
          <t>FO05</t>
        </is>
      </c>
      <c r="E173" s="6" t="inlineStr">
        <is>
          <t>Cap payments Afforestation, agroforestry, fire prevention, restoration and adaptation of forests and forest activities.</t>
        </is>
      </c>
      <c r="F173" s="17" t="n">
        <v>820000000</v>
      </c>
      <c r="G173" s="8">
        <f>IFERROR(INDEX(Sub_Markets!$B$5:$B$77,MATCH(D173,Sub_Markets!$A$5:$A$77,0)),C173)</f>
        <v/>
      </c>
      <c r="H173" s="6" t="inlineStr">
        <is>
          <t>EUR</t>
        </is>
      </c>
      <c r="I173" s="8">
        <f>IF(C173=G173,"Yes","No")</f>
        <v/>
      </c>
      <c r="J173" s="17" t="n">
        <v>942999999.9999999</v>
      </c>
      <c r="K173" s="6" t="inlineStr">
        <is>
          <t>Grant financing</t>
        </is>
      </c>
      <c r="L173" s="6" t="inlineStr">
        <is>
          <t>Restricted funds</t>
        </is>
      </c>
      <c r="M173" s="6" t="inlineStr">
        <is>
          <t>Spain CAP Strategy</t>
        </is>
      </c>
    </row>
    <row r="174">
      <c r="A174" s="6" t="inlineStr">
        <is>
          <t>M80</t>
        </is>
      </c>
      <c r="B174" s="6" t="inlineStr">
        <is>
          <t>DEU</t>
        </is>
      </c>
      <c r="C174" s="6" t="inlineStr">
        <is>
          <t>AFF02</t>
        </is>
      </c>
      <c r="D174" s="6" t="inlineStr">
        <is>
          <t>FO07</t>
        </is>
      </c>
      <c r="E174" s="6" t="inlineStr">
        <is>
          <t>CAP payments for modernisation of farms and investment in solutions</t>
        </is>
      </c>
      <c r="F174" s="17" t="n">
        <v>930000000</v>
      </c>
      <c r="G174" s="8">
        <f>IFERROR(INDEX(Sub_Markets!$B$5:$B$77,MATCH(D174,Sub_Markets!$A$5:$A$77,0)),C174)</f>
        <v/>
      </c>
      <c r="H174" s="6" t="inlineStr">
        <is>
          <t>EUR</t>
        </is>
      </c>
      <c r="I174" s="8">
        <f>IF(C174=G174,"Yes","No")</f>
        <v/>
      </c>
      <c r="J174" s="17" t="n">
        <v>1069500000</v>
      </c>
      <c r="K174" s="6" t="inlineStr">
        <is>
          <t>Grant financing</t>
        </is>
      </c>
      <c r="L174" s="6" t="inlineStr">
        <is>
          <t>Restricted funds</t>
        </is>
      </c>
      <c r="M174" s="6" t="inlineStr">
        <is>
          <t>CAP Funding programme</t>
        </is>
      </c>
    </row>
    <row r="175">
      <c r="A175" s="6" t="inlineStr">
        <is>
          <t>M81</t>
        </is>
      </c>
      <c r="B175" s="6" t="inlineStr">
        <is>
          <t>DEU</t>
        </is>
      </c>
      <c r="C175" s="6" t="inlineStr">
        <is>
          <t>AFF03</t>
        </is>
      </c>
      <c r="D175" s="6" t="inlineStr">
        <is>
          <t>FO14</t>
        </is>
      </c>
      <c r="E175" s="6" t="inlineStr">
        <is>
          <t>National funding from EMFAF Programme to support sustainable to support sustainable fisheries</t>
        </is>
      </c>
      <c r="F175" s="17" t="n">
        <v>148274000</v>
      </c>
      <c r="G175" s="8">
        <f>IFERROR(INDEX(Sub_Markets!$B$5:$B$77,MATCH(D175,Sub_Markets!$A$5:$A$77,0)),C175)</f>
        <v/>
      </c>
      <c r="H175" s="6" t="inlineStr">
        <is>
          <t>EUR</t>
        </is>
      </c>
      <c r="I175" s="8">
        <f>IF(C175=G175,"Yes","No")</f>
        <v/>
      </c>
      <c r="J175" s="17" t="n">
        <v>170515100</v>
      </c>
      <c r="K175" s="6" t="inlineStr">
        <is>
          <t>Grant financing</t>
        </is>
      </c>
      <c r="L175" s="6" t="inlineStr">
        <is>
          <t>Restricted funds</t>
        </is>
      </c>
      <c r="M175" s="6" t="inlineStr">
        <is>
          <t>EMFAF website</t>
        </is>
      </c>
    </row>
    <row r="176">
      <c r="A176" s="6" t="inlineStr">
        <is>
          <t>M82</t>
        </is>
      </c>
      <c r="B176" s="6" t="inlineStr">
        <is>
          <t>DEU</t>
        </is>
      </c>
      <c r="C176" s="6" t="inlineStr">
        <is>
          <t>AFF03</t>
        </is>
      </c>
      <c r="D176" s="6" t="inlineStr">
        <is>
          <t>FO15</t>
        </is>
      </c>
      <c r="E176" s="6" t="inlineStr">
        <is>
          <t>National funding from EMFAF Programme to support sustainable to support sustainable aquaculture</t>
        </is>
      </c>
      <c r="F176" s="17" t="n">
        <v>99858000</v>
      </c>
      <c r="G176" s="8">
        <f>IFERROR(INDEX(Sub_Markets!$B$5:$B$77,MATCH(D176,Sub_Markets!$A$5:$A$77,0)),C176)</f>
        <v/>
      </c>
      <c r="H176" s="6" t="inlineStr">
        <is>
          <t>EUR</t>
        </is>
      </c>
      <c r="I176" s="8">
        <f>IF(C176=G176,"Yes","No")</f>
        <v/>
      </c>
      <c r="J176" s="17" t="n">
        <v>114836700</v>
      </c>
      <c r="K176" s="6" t="inlineStr">
        <is>
          <t>Grant financing</t>
        </is>
      </c>
      <c r="L176" s="6" t="inlineStr">
        <is>
          <t>Restricted funds</t>
        </is>
      </c>
      <c r="M176" s="6" t="inlineStr">
        <is>
          <t>EMFAF website</t>
        </is>
      </c>
    </row>
    <row r="177">
      <c r="A177" s="6" t="inlineStr">
        <is>
          <t>M83</t>
        </is>
      </c>
      <c r="B177" s="6" t="inlineStr">
        <is>
          <t>DEU</t>
        </is>
      </c>
      <c r="C177" s="6" t="inlineStr">
        <is>
          <t>AFF03</t>
        </is>
      </c>
      <c r="D177" s="6" t="inlineStr">
        <is>
          <t>FO19</t>
        </is>
      </c>
      <c r="E177" s="6" t="inlineStr">
        <is>
          <t>National funding from EMFAF Programme to support blue economy</t>
        </is>
      </c>
      <c r="F177" s="17" t="n">
        <v>30260000</v>
      </c>
      <c r="G177" s="8">
        <f>IFERROR(INDEX(Sub_Markets!$B$5:$B$77,MATCH(D177,Sub_Markets!$A$5:$A$77,0)),C177)</f>
        <v/>
      </c>
      <c r="H177" s="6" t="inlineStr">
        <is>
          <t>EUR</t>
        </is>
      </c>
      <c r="I177" s="8">
        <f>IF(C177=G177,"Yes","No")</f>
        <v/>
      </c>
      <c r="J177" s="17" t="n">
        <v>34799000</v>
      </c>
      <c r="K177" s="6" t="inlineStr">
        <is>
          <t>Grant financing</t>
        </is>
      </c>
      <c r="L177" s="6" t="inlineStr">
        <is>
          <t>Restricted funds</t>
        </is>
      </c>
      <c r="M177" s="6" t="inlineStr">
        <is>
          <t>EMFAF website</t>
        </is>
      </c>
    </row>
    <row r="178">
      <c r="A178" s="6" t="inlineStr">
        <is>
          <t>M84</t>
        </is>
      </c>
      <c r="B178" s="6" t="inlineStr">
        <is>
          <t>DEU</t>
        </is>
      </c>
      <c r="C178" s="6" t="inlineStr">
        <is>
          <t>AFF03</t>
        </is>
      </c>
      <c r="D178" s="6" t="inlineStr">
        <is>
          <t>FO19</t>
        </is>
      </c>
      <c r="E178" s="6" t="inlineStr">
        <is>
          <t>National funding from EMFAF Programme to support ocean governance</t>
        </is>
      </c>
      <c r="F178" s="17" t="n">
        <v>6052000</v>
      </c>
      <c r="G178" s="8">
        <f>IFERROR(INDEX(Sub_Markets!$B$5:$B$77,MATCH(D178,Sub_Markets!$A$5:$A$77,0)),C178)</f>
        <v/>
      </c>
      <c r="H178" s="6" t="inlineStr">
        <is>
          <t>EUR</t>
        </is>
      </c>
      <c r="I178" s="8">
        <f>IF(C178=G178,"Yes","No")</f>
        <v/>
      </c>
      <c r="J178" s="17" t="n">
        <v>6959799.999999999</v>
      </c>
      <c r="K178" s="6" t="inlineStr">
        <is>
          <t>Grant financing</t>
        </is>
      </c>
      <c r="L178" s="6" t="inlineStr">
        <is>
          <t>Restricted funds</t>
        </is>
      </c>
      <c r="M178" s="6" t="inlineStr">
        <is>
          <t>EMFAF website</t>
        </is>
      </c>
    </row>
    <row r="179">
      <c r="A179" s="6" t="inlineStr">
        <is>
          <t>M85</t>
        </is>
      </c>
      <c r="B179" s="6" t="inlineStr">
        <is>
          <t>DEU</t>
        </is>
      </c>
      <c r="C179" s="6" t="inlineStr">
        <is>
          <t>AFF02</t>
        </is>
      </c>
      <c r="D179" s="6" t="inlineStr">
        <is>
          <t>FO10</t>
        </is>
      </c>
      <c r="E179" s="6" t="inlineStr">
        <is>
          <t>CAP payments for organic farming practices</t>
        </is>
      </c>
      <c r="F179" s="17" t="n">
        <v>2300000000</v>
      </c>
      <c r="G179" s="8">
        <f>IFERROR(INDEX(Sub_Markets!$B$5:$B$77,MATCH(D179,Sub_Markets!$A$5:$A$77,0)),C179)</f>
        <v/>
      </c>
      <c r="H179" s="6" t="inlineStr">
        <is>
          <t>EUR</t>
        </is>
      </c>
      <c r="I179" s="8">
        <f>IF(C179=G179,"Yes","No")</f>
        <v/>
      </c>
      <c r="J179" s="17" t="n">
        <v>2645000000</v>
      </c>
      <c r="K179" s="6" t="inlineStr">
        <is>
          <t>Grant financing</t>
        </is>
      </c>
      <c r="L179" s="6" t="inlineStr">
        <is>
          <t>Restricted funds</t>
        </is>
      </c>
      <c r="M179" s="6" t="inlineStr">
        <is>
          <t>CAP Funding programme</t>
        </is>
      </c>
    </row>
    <row r="180">
      <c r="A180" s="6" t="inlineStr">
        <is>
          <t>M86</t>
        </is>
      </c>
      <c r="B180" s="6" t="inlineStr">
        <is>
          <t>DEU</t>
        </is>
      </c>
      <c r="C180" s="6" t="inlineStr">
        <is>
          <t>AFF02</t>
        </is>
      </c>
      <c r="D180" s="6" t="inlineStr">
        <is>
          <t>FO09</t>
        </is>
      </c>
      <c r="E180" s="6" t="inlineStr">
        <is>
          <t>CAP payments for  management of grassland in a more nature-conserving way, such as reducing the use of pesticides and fertilisers.</t>
        </is>
      </c>
      <c r="F180" s="17" t="n">
        <v>1700000000</v>
      </c>
      <c r="G180" s="8">
        <f>IFERROR(INDEX(Sub_Markets!$B$5:$B$77,MATCH(D180,Sub_Markets!$A$5:$A$77,0)),C180)</f>
        <v/>
      </c>
      <c r="H180" s="6" t="inlineStr">
        <is>
          <t>EUR</t>
        </is>
      </c>
      <c r="I180" s="8">
        <f>IF(C180=G180,"Yes","No")</f>
        <v/>
      </c>
      <c r="J180" s="17" t="n">
        <v>1955000000</v>
      </c>
      <c r="K180" s="6" t="inlineStr">
        <is>
          <t>Grant financing</t>
        </is>
      </c>
      <c r="L180" s="6" t="inlineStr">
        <is>
          <t>Restricted funds</t>
        </is>
      </c>
      <c r="M180" s="6" t="inlineStr">
        <is>
          <t>CAP Funding programme</t>
        </is>
      </c>
    </row>
    <row r="181">
      <c r="A181" s="6" t="inlineStr">
        <is>
          <t>M87</t>
        </is>
      </c>
      <c r="B181" s="6" t="inlineStr">
        <is>
          <t>IRL</t>
        </is>
      </c>
      <c r="C181" s="6" t="inlineStr">
        <is>
          <t>AFF01</t>
        </is>
      </c>
      <c r="D181" s="6" t="inlineStr">
        <is>
          <t>FO01</t>
        </is>
      </c>
      <c r="E181" s="6" t="inlineStr">
        <is>
          <t>Amount for funding to Amazon Fund for reforestation</t>
        </is>
      </c>
      <c r="F181" s="17" t="n">
        <v>17500000</v>
      </c>
      <c r="G181" s="8">
        <f>IFERROR(INDEX(Sub_Markets!$B$5:$B$77,MATCH(D181,Sub_Markets!$A$5:$A$77,0)),C181)</f>
        <v/>
      </c>
      <c r="H181" s="6" t="inlineStr">
        <is>
          <t>EUR</t>
        </is>
      </c>
      <c r="I181" s="8">
        <f>IF(C181=G181,"Yes","No")</f>
        <v/>
      </c>
      <c r="J181" s="17" t="n">
        <v>20125000</v>
      </c>
      <c r="K181" s="6" t="inlineStr">
        <is>
          <t>Grant financing</t>
        </is>
      </c>
      <c r="L181" s="6" t="inlineStr">
        <is>
          <t>Restricted funds</t>
        </is>
      </c>
      <c r="M181" s="6" t="inlineStr">
        <is>
          <t>NBSAP</t>
        </is>
      </c>
    </row>
    <row r="182">
      <c r="A182" s="6" t="inlineStr">
        <is>
          <t>M88</t>
        </is>
      </c>
      <c r="B182" s="6" t="inlineStr">
        <is>
          <t>IRL</t>
        </is>
      </c>
      <c r="C182" s="6" t="inlineStr">
        <is>
          <t>AFF01</t>
        </is>
      </c>
      <c r="D182" s="6" t="inlineStr">
        <is>
          <t>FO04</t>
        </is>
      </c>
      <c r="E182" s="6" t="inlineStr">
        <is>
          <t>Budget allocated over 4 years to forestry programme</t>
        </is>
      </c>
      <c r="F182" s="17" t="n">
        <v>1300000000</v>
      </c>
      <c r="G182" s="8">
        <f>IFERROR(INDEX(Sub_Markets!$B$5:$B$77,MATCH(D182,Sub_Markets!$A$5:$A$77,0)),C182)</f>
        <v/>
      </c>
      <c r="H182" s="6" t="inlineStr">
        <is>
          <t>EUR</t>
        </is>
      </c>
      <c r="I182" s="8">
        <f>IF(C182=G182,"Yes","No")</f>
        <v/>
      </c>
      <c r="J182" s="17" t="n">
        <v>1495000000</v>
      </c>
      <c r="K182" s="6" t="inlineStr">
        <is>
          <t>Equity and debt finance</t>
        </is>
      </c>
      <c r="L182" s="6" t="inlineStr">
        <is>
          <t>Impact investors</t>
        </is>
      </c>
      <c r="M182" s="6" t="inlineStr">
        <is>
          <t>Nation Forestry Programme 2023-2027</t>
        </is>
      </c>
    </row>
    <row r="183">
      <c r="A183" s="6" t="inlineStr">
        <is>
          <t>M89</t>
        </is>
      </c>
      <c r="B183" s="6" t="inlineStr">
        <is>
          <t>IRL</t>
        </is>
      </c>
      <c r="C183" s="6" t="inlineStr">
        <is>
          <t>AFF02</t>
        </is>
      </c>
      <c r="D183" s="6" t="inlineStr">
        <is>
          <t>FO07</t>
        </is>
      </c>
      <c r="E183" s="6" t="inlineStr">
        <is>
          <t>CAP payments for agriculture of which payments are conditional on compliance with biodiversity requirements</t>
        </is>
      </c>
      <c r="F183" s="17" t="n">
        <v>2300000000</v>
      </c>
      <c r="G183" s="8">
        <f>IFERROR(INDEX(Sub_Markets!$B$5:$B$77,MATCH(D183,Sub_Markets!$A$5:$A$77,0)),C183)</f>
        <v/>
      </c>
      <c r="H183" s="6" t="inlineStr">
        <is>
          <t>EUR</t>
        </is>
      </c>
      <c r="I183" s="8">
        <f>IF(C183=G183,"Yes","No")</f>
        <v/>
      </c>
      <c r="J183" s="17" t="n">
        <v>2645000000</v>
      </c>
      <c r="K183" s="6" t="inlineStr">
        <is>
          <t>Grant financing</t>
        </is>
      </c>
      <c r="L183" s="6" t="inlineStr">
        <is>
          <t>Restricted funds</t>
        </is>
      </c>
      <c r="M183" s="6" t="inlineStr">
        <is>
          <t>CAP Funding programme</t>
        </is>
      </c>
    </row>
    <row r="184">
      <c r="A184" s="6" t="inlineStr">
        <is>
          <t>M90</t>
        </is>
      </c>
      <c r="B184" s="6" t="inlineStr">
        <is>
          <t>IRL</t>
        </is>
      </c>
      <c r="C184" s="6" t="inlineStr">
        <is>
          <t>AFF02</t>
        </is>
      </c>
      <c r="D184" s="6" t="inlineStr">
        <is>
          <t>FO07</t>
        </is>
      </c>
      <c r="E184" s="6" t="inlineStr">
        <is>
          <t>ACRES - largest Agri-environment scheme allotment</t>
        </is>
      </c>
      <c r="F184" s="17" t="n">
        <v>1500000000</v>
      </c>
      <c r="G184" s="8">
        <f>IFERROR(INDEX(Sub_Markets!$B$5:$B$77,MATCH(D184,Sub_Markets!$A$5:$A$77,0)),C184)</f>
        <v/>
      </c>
      <c r="H184" s="6" t="inlineStr">
        <is>
          <t>EUR</t>
        </is>
      </c>
      <c r="I184" s="8">
        <f>IF(C184=G184,"Yes","No")</f>
        <v/>
      </c>
      <c r="J184" s="17" t="n">
        <v>1725000000</v>
      </c>
      <c r="K184" s="6" t="inlineStr">
        <is>
          <t>Grant financing</t>
        </is>
      </c>
      <c r="L184" s="6" t="inlineStr">
        <is>
          <t>Restricted funds</t>
        </is>
      </c>
      <c r="M184" s="6" t="inlineStr">
        <is>
          <t>4th-national-biodiversity-action-plan.pdf</t>
        </is>
      </c>
    </row>
    <row r="185">
      <c r="A185" s="6" t="inlineStr">
        <is>
          <t>M91</t>
        </is>
      </c>
      <c r="B185" s="6" t="inlineStr">
        <is>
          <t>IRL</t>
        </is>
      </c>
      <c r="C185" s="6" t="inlineStr">
        <is>
          <t>AFF03</t>
        </is>
      </c>
      <c r="D185" s="6" t="inlineStr">
        <is>
          <t>FO18</t>
        </is>
      </c>
      <c r="E185" s="6" t="inlineStr">
        <is>
          <t>Committed to Blue Action Fund for MPAs</t>
        </is>
      </c>
      <c r="F185" s="17" t="n">
        <v>8500000</v>
      </c>
      <c r="G185" s="8">
        <f>IFERROR(INDEX(Sub_Markets!$B$5:$B$77,MATCH(D185,Sub_Markets!$A$5:$A$77,0)),C185)</f>
        <v/>
      </c>
      <c r="H185" s="6" t="inlineStr">
        <is>
          <t>EUR</t>
        </is>
      </c>
      <c r="I185" s="8">
        <f>IF(C185=G185,"Yes","No")</f>
        <v/>
      </c>
      <c r="J185" s="17" t="n">
        <v>9775000</v>
      </c>
      <c r="K185" s="6" t="inlineStr">
        <is>
          <t>Grant financing</t>
        </is>
      </c>
      <c r="L185" s="6" t="inlineStr">
        <is>
          <t>Restricted funds</t>
        </is>
      </c>
      <c r="M185" s="6" t="inlineStr">
        <is>
          <t>NBSAP</t>
        </is>
      </c>
    </row>
    <row r="186">
      <c r="A186" s="6" t="inlineStr">
        <is>
          <t>M92</t>
        </is>
      </c>
      <c r="B186" s="6" t="inlineStr">
        <is>
          <t>IRL</t>
        </is>
      </c>
      <c r="C186" s="6" t="inlineStr">
        <is>
          <t>AFF03</t>
        </is>
      </c>
      <c r="D186" s="6" t="inlineStr">
        <is>
          <t>FO14</t>
        </is>
      </c>
      <c r="E186" s="6" t="inlineStr">
        <is>
          <t>National funding from EMFAF Programme to support sustainable to support sustainable fisheries</t>
        </is>
      </c>
      <c r="F186" s="17" t="n">
        <v>129200000</v>
      </c>
      <c r="G186" s="8">
        <f>IFERROR(INDEX(Sub_Markets!$B$5:$B$77,MATCH(D186,Sub_Markets!$A$5:$A$77,0)),C186)</f>
        <v/>
      </c>
      <c r="H186" s="6" t="inlineStr">
        <is>
          <t>EUR</t>
        </is>
      </c>
      <c r="I186" s="8">
        <f>IF(C186=G186,"Yes","No")</f>
        <v/>
      </c>
      <c r="J186" s="17" t="n">
        <v>148580000</v>
      </c>
      <c r="K186" s="6" t="inlineStr">
        <is>
          <t>Grant financing</t>
        </is>
      </c>
      <c r="L186" s="6" t="inlineStr">
        <is>
          <t>Restricted funds</t>
        </is>
      </c>
      <c r="M186" s="6" t="inlineStr">
        <is>
          <t>Irish EMFAF programme 2021-27 - EU Funds</t>
        </is>
      </c>
    </row>
    <row r="187">
      <c r="A187" s="6" t="inlineStr">
        <is>
          <t>M93</t>
        </is>
      </c>
      <c r="B187" s="6" t="inlineStr">
        <is>
          <t>IRL</t>
        </is>
      </c>
      <c r="C187" s="6" t="inlineStr">
        <is>
          <t>AFF03</t>
        </is>
      </c>
      <c r="D187" s="6" t="inlineStr">
        <is>
          <t>FO15</t>
        </is>
      </c>
      <c r="E187" s="6" t="inlineStr">
        <is>
          <t>National funding from EMFAF Programme to support sustainable to support sustainable aquaculture</t>
        </is>
      </c>
      <c r="F187" s="17" t="n">
        <v>93024000</v>
      </c>
      <c r="G187" s="8">
        <f>IFERROR(INDEX(Sub_Markets!$B$5:$B$77,MATCH(D187,Sub_Markets!$A$5:$A$77,0)),C187)</f>
        <v/>
      </c>
      <c r="H187" s="6" t="inlineStr">
        <is>
          <t>EUR</t>
        </is>
      </c>
      <c r="I187" s="8">
        <f>IF(C187=G187,"Yes","No")</f>
        <v/>
      </c>
      <c r="J187" s="17" t="n">
        <v>106977600</v>
      </c>
      <c r="K187" s="6" t="inlineStr">
        <is>
          <t>Grant financing</t>
        </is>
      </c>
      <c r="L187" s="6" t="inlineStr">
        <is>
          <t>Restricted funds</t>
        </is>
      </c>
      <c r="M187" s="6" t="inlineStr">
        <is>
          <t>Irish EMFAF programme 2021-27 - EU Funds</t>
        </is>
      </c>
    </row>
    <row r="188">
      <c r="A188" s="6" t="inlineStr">
        <is>
          <t>M94</t>
        </is>
      </c>
      <c r="B188" s="6" t="inlineStr">
        <is>
          <t>IRL</t>
        </is>
      </c>
      <c r="C188" s="6" t="inlineStr">
        <is>
          <t>AFF03</t>
        </is>
      </c>
      <c r="D188" s="6" t="inlineStr">
        <is>
          <t>FO19</t>
        </is>
      </c>
      <c r="E188" s="6" t="inlineStr">
        <is>
          <t>National funding from EMFAF Programme to support blue economy</t>
        </is>
      </c>
      <c r="F188" s="17" t="n">
        <v>15504000</v>
      </c>
      <c r="G188" s="8">
        <f>IFERROR(INDEX(Sub_Markets!$B$5:$B$77,MATCH(D188,Sub_Markets!$A$5:$A$77,0)),C188)</f>
        <v/>
      </c>
      <c r="H188" s="6" t="inlineStr">
        <is>
          <t>EUR</t>
        </is>
      </c>
      <c r="I188" s="8">
        <f>IF(C188=G188,"Yes","No")</f>
        <v/>
      </c>
      <c r="J188" s="17" t="n">
        <v>17829600</v>
      </c>
      <c r="K188" s="6" t="inlineStr">
        <is>
          <t>Grant financing</t>
        </is>
      </c>
      <c r="L188" s="6" t="inlineStr">
        <is>
          <t>Restricted funds</t>
        </is>
      </c>
      <c r="M188" s="6" t="inlineStr">
        <is>
          <t>Irish EMFAF programme 2021-27 - EU Funds</t>
        </is>
      </c>
    </row>
    <row r="189">
      <c r="A189" s="6" t="inlineStr">
        <is>
          <t>M95</t>
        </is>
      </c>
      <c r="B189" s="6" t="inlineStr">
        <is>
          <t>IRL</t>
        </is>
      </c>
      <c r="C189" s="6" t="inlineStr">
        <is>
          <t>AFF03</t>
        </is>
      </c>
      <c r="D189" s="6" t="inlineStr">
        <is>
          <t>FO19</t>
        </is>
      </c>
      <c r="E189" s="6" t="inlineStr">
        <is>
          <t>National funding from EMFAF Programme to support ocean governance</t>
        </is>
      </c>
      <c r="F189" s="17" t="n">
        <v>5168000</v>
      </c>
      <c r="G189" s="8">
        <f>IFERROR(INDEX(Sub_Markets!$B$5:$B$77,MATCH(D189,Sub_Markets!$A$5:$A$77,0)),C189)</f>
        <v/>
      </c>
      <c r="H189" s="6" t="inlineStr">
        <is>
          <t>EUR</t>
        </is>
      </c>
      <c r="I189" s="8">
        <f>IF(C189=G189,"Yes","No")</f>
        <v/>
      </c>
      <c r="J189" s="17" t="n">
        <v>5943200</v>
      </c>
      <c r="K189" s="6" t="inlineStr">
        <is>
          <t>Grant financing</t>
        </is>
      </c>
      <c r="L189" s="6" t="inlineStr">
        <is>
          <t>Restricted funds</t>
        </is>
      </c>
      <c r="M189" s="6" t="inlineStr">
        <is>
          <t>Irish EMFAF programme 2021-27 - EU Funds</t>
        </is>
      </c>
    </row>
    <row r="190">
      <c r="A190" s="6" t="inlineStr">
        <is>
          <t>M96</t>
        </is>
      </c>
      <c r="B190" s="6" t="inlineStr">
        <is>
          <t>PRT</t>
        </is>
      </c>
      <c r="C190" s="6" t="inlineStr">
        <is>
          <t>AFF01</t>
        </is>
      </c>
      <c r="D190" s="6" t="inlineStr">
        <is>
          <t>FO02</t>
        </is>
      </c>
      <c r="E190" s="6" t="inlineStr">
        <is>
          <t>Support investment in restoring the forest areas hit by natural disasters, severe weather events or other extreme events in line with the Common Agricultural Policy’s Strategic Plan for Portugal.</t>
        </is>
      </c>
      <c r="F190" s="17" t="n">
        <v>250000000</v>
      </c>
      <c r="G190" s="8">
        <f>IFERROR(INDEX(Sub_Markets!$B$5:$B$77,MATCH(D190,Sub_Markets!$A$5:$A$77,0)),C190)</f>
        <v/>
      </c>
      <c r="H190" s="6" t="inlineStr">
        <is>
          <t>EUR</t>
        </is>
      </c>
      <c r="I190" s="8">
        <f>IF(C190=G190,"Yes","No")</f>
        <v/>
      </c>
      <c r="J190" s="17" t="n">
        <v>287500000</v>
      </c>
      <c r="K190" s="6" t="inlineStr">
        <is>
          <t>Grant financing</t>
        </is>
      </c>
      <c r="L190" s="6" t="inlineStr">
        <is>
          <t>Restricted funds</t>
        </is>
      </c>
      <c r="M190" s="6" t="inlineStr">
        <is>
          <t>European assistance of €250M for national forests boosts Portugal’s resilience - XXV Constitutional Government</t>
        </is>
      </c>
    </row>
    <row r="191">
      <c r="A191" s="6" t="inlineStr">
        <is>
          <t>M97</t>
        </is>
      </c>
      <c r="B191" s="6" t="inlineStr">
        <is>
          <t>PRT</t>
        </is>
      </c>
      <c r="C191" s="6" t="inlineStr">
        <is>
          <t>AFF02</t>
        </is>
      </c>
      <c r="D191" s="6" t="inlineStr">
        <is>
          <t>FO07</t>
        </is>
      </c>
      <c r="E191" s="6" t="inlineStr">
        <is>
          <t>CAP payments for agriculture of which payments are conditional on compliance with biodiversity requirements</t>
        </is>
      </c>
      <c r="F191" s="17" t="n">
        <v>3500000000</v>
      </c>
      <c r="G191" s="8">
        <f>IFERROR(INDEX(Sub_Markets!$B$5:$B$77,MATCH(D191,Sub_Markets!$A$5:$A$77,0)),C191)</f>
        <v/>
      </c>
      <c r="H191" s="6" t="inlineStr">
        <is>
          <t>EUR</t>
        </is>
      </c>
      <c r="I191" s="8">
        <f>IF(C191=G191,"Yes","No")</f>
        <v/>
      </c>
      <c r="J191" s="17" t="n">
        <v>4025000000</v>
      </c>
      <c r="K191" s="6" t="inlineStr">
        <is>
          <t>Grant financing</t>
        </is>
      </c>
      <c r="L191" s="6" t="inlineStr">
        <is>
          <t>Restricted funds</t>
        </is>
      </c>
      <c r="M191" s="6" t="inlineStr">
        <is>
          <t>CAP Funding programme</t>
        </is>
      </c>
    </row>
    <row r="192">
      <c r="A192" s="6" t="inlineStr">
        <is>
          <t>M98</t>
        </is>
      </c>
      <c r="B192" s="6" t="inlineStr">
        <is>
          <t>PRT</t>
        </is>
      </c>
      <c r="C192" s="6" t="inlineStr">
        <is>
          <t>AFF02</t>
        </is>
      </c>
      <c r="D192" s="6" t="inlineStr">
        <is>
          <t>FO12</t>
        </is>
      </c>
      <c r="E192" s="6" t="inlineStr">
        <is>
          <t>Portion of CAP for rural development and agri-environmental interventions</t>
        </is>
      </c>
      <c r="F192" s="17" t="n">
        <v>4000000000</v>
      </c>
      <c r="G192" s="8">
        <f>IFERROR(INDEX(Sub_Markets!$B$5:$B$77,MATCH(D192,Sub_Markets!$A$5:$A$77,0)),C192)</f>
        <v/>
      </c>
      <c r="H192" s="6" t="inlineStr">
        <is>
          <t>EUR</t>
        </is>
      </c>
      <c r="I192" s="8">
        <f>IF(C192=G192,"Yes","No")</f>
        <v/>
      </c>
      <c r="J192" s="17" t="n">
        <v>4600000000</v>
      </c>
      <c r="K192" s="6" t="inlineStr">
        <is>
          <t>Grant financing</t>
        </is>
      </c>
      <c r="L192" s="6" t="inlineStr">
        <is>
          <t>Restricted funds</t>
        </is>
      </c>
      <c r="M192" s="6" t="inlineStr">
        <is>
          <t>CAP Funding programme</t>
        </is>
      </c>
    </row>
    <row r="193">
      <c r="A193" s="6" t="inlineStr">
        <is>
          <t>M99</t>
        </is>
      </c>
      <c r="B193" s="6" t="inlineStr">
        <is>
          <t>PRT</t>
        </is>
      </c>
      <c r="C193" s="6" t="inlineStr">
        <is>
          <t>AFF02</t>
        </is>
      </c>
      <c r="D193" s="6" t="inlineStr">
        <is>
          <t>FO07</t>
        </is>
      </c>
      <c r="E193" s="6" t="inlineStr">
        <is>
          <t>Portion of CAP for supporting biodiversity-friendly farming practises</t>
        </is>
      </c>
      <c r="F193" s="17" t="n">
        <v>2500000000</v>
      </c>
      <c r="G193" s="8">
        <f>IFERROR(INDEX(Sub_Markets!$B$5:$B$77,MATCH(D193,Sub_Markets!$A$5:$A$77,0)),C193)</f>
        <v/>
      </c>
      <c r="H193" s="6" t="inlineStr">
        <is>
          <t>EUR</t>
        </is>
      </c>
      <c r="I193" s="8">
        <f>IF(C193=G193,"Yes","No")</f>
        <v/>
      </c>
      <c r="J193" s="17" t="n">
        <v>2875000000</v>
      </c>
      <c r="K193" s="6" t="inlineStr">
        <is>
          <t>Grant financing</t>
        </is>
      </c>
      <c r="L193" s="6" t="inlineStr">
        <is>
          <t>Restricted funds</t>
        </is>
      </c>
      <c r="M193" s="6" t="inlineStr">
        <is>
          <t>CAP Funding programme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10" customWidth="1" min="1" max="1"/>
    <col width="12" customWidth="1" min="2" max="2"/>
    <col width="50" customWidth="1" min="3" max="3"/>
    <col width="14" customWidth="1" min="4" max="4"/>
    <col width="8" customWidth="1" min="5" max="5"/>
  </cols>
  <sheetData>
    <row r="1">
      <c r="A1" s="1" t="inlineStr">
        <is>
          <t>NBSAP goals/targets by country and sub-theme</t>
        </is>
      </c>
    </row>
    <row r="2">
      <c r="A2" s="10" t="inlineStr">
        <is>
          <t>Complete for the country being run (Copilot Step 4). Pre-filled from the EY workbook where available.</t>
        </is>
      </c>
    </row>
    <row r="4">
      <c r="A4" s="4" t="inlineStr">
        <is>
          <t>Country_ID</t>
        </is>
      </c>
      <c r="B4" s="4" t="inlineStr">
        <is>
          <t>SubTheme_ID</t>
        </is>
      </c>
      <c r="C4" s="4" t="inlineStr">
        <is>
          <t>NBSAP goal / target reference</t>
        </is>
      </c>
      <c r="D4" s="4" t="inlineStr">
        <is>
          <t>Policy signal strength</t>
        </is>
      </c>
      <c r="E4" s="4" t="inlineStr">
        <is>
          <t>Page</t>
        </is>
      </c>
    </row>
    <row r="5">
      <c r="A5" s="6" t="inlineStr">
        <is>
          <t>GBR</t>
        </is>
      </c>
      <c r="B5" s="6" t="inlineStr">
        <is>
          <t>W01</t>
        </is>
      </c>
      <c r="C5" s="6" t="inlineStr">
        <is>
          <t>Goal 3: Water</t>
        </is>
      </c>
      <c r="D5" s="6" t="inlineStr">
        <is>
          <t>High</t>
        </is>
      </c>
      <c r="E5" s="6" t="inlineStr">
        <is>
          <t>Page 47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10" customWidth="1" min="1" max="1"/>
    <col width="9" customWidth="1" min="2" max="2"/>
    <col width="14" customWidth="1" min="3" max="3"/>
    <col width="70" customWidth="1" min="4" max="4"/>
    <col width="20" customWidth="1" min="5" max="5"/>
    <col width="20" customWidth="1" min="6" max="6"/>
    <col width="60" customWidth="1" min="7" max="7"/>
  </cols>
  <sheetData>
    <row r="1">
      <c r="A1" s="1" t="inlineStr">
        <is>
          <t>Evidence log</t>
        </is>
      </c>
    </row>
    <row r="2">
      <c r="A2" s="10" t="inlineStr">
        <is>
          <t>Evidence type: Commitment | Quantified target | Policy | Exposure | Financing or product | Partnership | Performance metric | Disclosure | Governance. Scope: Own operations | Value chain / portfolio | Products and services | External driver.</t>
        </is>
      </c>
    </row>
    <row r="4">
      <c r="A4" s="4" t="inlineStr">
        <is>
          <t>Evidence_ID</t>
        </is>
      </c>
      <c r="B4" s="4" t="inlineStr">
        <is>
          <t>Source_ID</t>
        </is>
      </c>
      <c r="C4" s="4" t="inlineStr">
        <is>
          <t>Page / tab</t>
        </is>
      </c>
      <c r="D4" s="4" t="inlineStr">
        <is>
          <t>Verbatim quote or figure (≤25 words)</t>
        </is>
      </c>
      <c r="E4" s="4" t="inlineStr">
        <is>
          <t>Evidence type</t>
        </is>
      </c>
      <c r="F4" s="4" t="inlineStr">
        <is>
          <t>Scope</t>
        </is>
      </c>
      <c r="G4" s="4" t="inlineStr">
        <is>
          <t>Summary</t>
        </is>
      </c>
    </row>
    <row r="5">
      <c r="A5" s="9" t="inlineStr">
        <is>
          <t>EV-001</t>
        </is>
      </c>
      <c r="B5" s="9" t="inlineStr">
        <is>
          <t>SRC-01</t>
        </is>
      </c>
      <c r="C5" s="9" t="inlineStr">
        <is>
          <t>p.4</t>
        </is>
      </c>
      <c r="D5" s="9" t="inlineStr">
        <is>
          <t>To date, it has spanned 238,494 hectares of farmland across 685 farms</t>
        </is>
      </c>
      <c r="E5" s="9" t="inlineStr">
        <is>
          <t>Performance metric</t>
        </is>
      </c>
      <c r="F5" s="9" t="inlineStr">
        <is>
          <t>Value chain / portfolio</t>
        </is>
      </c>
      <c r="G5" s="9" t="inlineStr">
        <is>
          <t>EXAMPLE – delete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04"/>
  <sheetViews>
    <sheetView workbookViewId="0">
      <pane ySplit="4" topLeftCell="A5" activePane="bottomLeft" state="frozen"/>
      <selection pane="bottomLeft" activeCell="A1" sqref="A1"/>
    </sheetView>
  </sheetViews>
  <sheetFormatPr baseColWidth="8" defaultRowHeight="15"/>
  <cols>
    <col width="10" customWidth="1" min="1" max="1"/>
    <col width="9" customWidth="1" min="2" max="2"/>
    <col width="16" customWidth="1" min="3" max="3"/>
    <col width="12" customWidth="1" min="4" max="4"/>
    <col width="12" customWidth="1" min="5" max="5"/>
    <col width="12" customWidth="1" min="6" max="6"/>
    <col width="11" customWidth="1" min="7" max="7"/>
    <col width="60" customWidth="1" min="8" max="8"/>
    <col width="14" customWidth="1" min="9" max="9"/>
  </cols>
  <sheetData>
    <row r="1">
      <c r="A1" s="1" t="inlineStr">
        <is>
          <t>Evidence mapped to taxonomy</t>
        </is>
      </c>
    </row>
    <row r="2">
      <c r="A2" s="10" t="inlineStr">
        <is>
          <t>Evidence class: Client exposure | Client action | Client position | External driver. Use XC for cross-cutting items. Column I is a helper used for confidence.</t>
        </is>
      </c>
    </row>
    <row r="4">
      <c r="A4" s="4" t="inlineStr">
        <is>
          <t>Evidence_ID</t>
        </is>
      </c>
      <c r="B4" s="4" t="inlineStr">
        <is>
          <t>Source_ID</t>
        </is>
      </c>
      <c r="C4" s="4" t="inlineStr">
        <is>
          <t>Evidence class</t>
        </is>
      </c>
      <c r="D4" s="4" t="inlineStr">
        <is>
          <t>Primary SubTheme_ID</t>
        </is>
      </c>
      <c r="E4" s="4" t="inlineStr">
        <is>
          <t>Primary Sub_Market_ID</t>
        </is>
      </c>
      <c r="F4" s="4" t="inlineStr">
        <is>
          <t>Secondary SubTheme_ID</t>
        </is>
      </c>
      <c r="G4" s="4" t="inlineStr">
        <is>
          <t>Mapping strength</t>
        </is>
      </c>
      <c r="H4" s="4" t="inlineStr">
        <is>
          <t>Rationale</t>
        </is>
      </c>
      <c r="I4" s="4" t="inlineStr">
        <is>
          <t>First client item for this source and sub-theme (helper)</t>
        </is>
      </c>
    </row>
    <row r="5">
      <c r="A5" s="9" t="inlineStr">
        <is>
          <t>EV-001</t>
        </is>
      </c>
      <c r="B5" s="8">
        <f>IF(A5="","",IFERROR(INDEX(Evidence_Log!$B:$B,MATCH(A5,Evidence_Log!$A:$A,0)),"check ID"))</f>
        <v/>
      </c>
      <c r="C5" s="9" t="inlineStr">
        <is>
          <t>Client action</t>
        </is>
      </c>
      <c r="D5" s="9" t="inlineStr">
        <is>
          <t>AFF02</t>
        </is>
      </c>
      <c r="E5" s="9" t="inlineStr">
        <is>
          <t>FO08</t>
        </is>
      </c>
      <c r="F5" s="9" t="inlineStr">
        <is>
          <t>W02</t>
        </is>
      </c>
      <c r="G5" s="9" t="inlineStr">
        <is>
          <t>Direct</t>
        </is>
      </c>
      <c r="H5" s="9" t="inlineStr">
        <is>
          <t>EXAMPLE – delete</t>
        </is>
      </c>
      <c r="I5" s="16">
        <f>IF(OR(A5="",C5="External driver"),0,IF(COUNTIFS(D$5:D5,D5,B$5:B5,B5,C$5:C5,"&lt;&gt;External driver")=1,1,0))</f>
        <v/>
      </c>
    </row>
    <row r="6">
      <c r="B6" s="8">
        <f>IF(A6="","",IFERROR(INDEX(Evidence_Log!$B:$B,MATCH(A6,Evidence_Log!$A:$A,0)),"check ID"))</f>
        <v/>
      </c>
      <c r="I6" s="16">
        <f>IF(OR(A6="",C6="External driver"),0,IF(COUNTIFS(D$5:D6,D6,B$5:B6,B6,C$5:C6,"&lt;&gt;External driver")=1,1,0))</f>
        <v/>
      </c>
    </row>
    <row r="7">
      <c r="B7" s="8">
        <f>IF(A7="","",IFERROR(INDEX(Evidence_Log!$B:$B,MATCH(A7,Evidence_Log!$A:$A,0)),"check ID"))</f>
        <v/>
      </c>
      <c r="I7" s="16">
        <f>IF(OR(A7="",C7="External driver"),0,IF(COUNTIFS(D$5:D7,D7,B$5:B7,B7,C$5:C7,"&lt;&gt;External driver")=1,1,0))</f>
        <v/>
      </c>
    </row>
    <row r="8">
      <c r="B8" s="8">
        <f>IF(A8="","",IFERROR(INDEX(Evidence_Log!$B:$B,MATCH(A8,Evidence_Log!$A:$A,0)),"check ID"))</f>
        <v/>
      </c>
      <c r="I8" s="16">
        <f>IF(OR(A8="",C8="External driver"),0,IF(COUNTIFS(D$5:D8,D8,B$5:B8,B8,C$5:C8,"&lt;&gt;External driver")=1,1,0))</f>
        <v/>
      </c>
    </row>
    <row r="9">
      <c r="B9" s="8">
        <f>IF(A9="","",IFERROR(INDEX(Evidence_Log!$B:$B,MATCH(A9,Evidence_Log!$A:$A,0)),"check ID"))</f>
        <v/>
      </c>
      <c r="I9" s="16">
        <f>IF(OR(A9="",C9="External driver"),0,IF(COUNTIFS(D$5:D9,D9,B$5:B9,B9,C$5:C9,"&lt;&gt;External driver")=1,1,0))</f>
        <v/>
      </c>
    </row>
    <row r="10">
      <c r="B10" s="8">
        <f>IF(A10="","",IFERROR(INDEX(Evidence_Log!$B:$B,MATCH(A10,Evidence_Log!$A:$A,0)),"check ID"))</f>
        <v/>
      </c>
      <c r="I10" s="16">
        <f>IF(OR(A10="",C10="External driver"),0,IF(COUNTIFS(D$5:D10,D10,B$5:B10,B10,C$5:C10,"&lt;&gt;External driver")=1,1,0))</f>
        <v/>
      </c>
    </row>
    <row r="11">
      <c r="B11" s="8">
        <f>IF(A11="","",IFERROR(INDEX(Evidence_Log!$B:$B,MATCH(A11,Evidence_Log!$A:$A,0)),"check ID"))</f>
        <v/>
      </c>
      <c r="I11" s="16">
        <f>IF(OR(A11="",C11="External driver"),0,IF(COUNTIFS(D$5:D11,D11,B$5:B11,B11,C$5:C11,"&lt;&gt;External driver")=1,1,0))</f>
        <v/>
      </c>
    </row>
    <row r="12">
      <c r="B12" s="8">
        <f>IF(A12="","",IFERROR(INDEX(Evidence_Log!$B:$B,MATCH(A12,Evidence_Log!$A:$A,0)),"check ID"))</f>
        <v/>
      </c>
      <c r="I12" s="16">
        <f>IF(OR(A12="",C12="External driver"),0,IF(COUNTIFS(D$5:D12,D12,B$5:B12,B12,C$5:C12,"&lt;&gt;External driver")=1,1,0))</f>
        <v/>
      </c>
    </row>
    <row r="13">
      <c r="B13" s="8">
        <f>IF(A13="","",IFERROR(INDEX(Evidence_Log!$B:$B,MATCH(A13,Evidence_Log!$A:$A,0)),"check ID"))</f>
        <v/>
      </c>
      <c r="I13" s="16">
        <f>IF(OR(A13="",C13="External driver"),0,IF(COUNTIFS(D$5:D13,D13,B$5:B13,B13,C$5:C13,"&lt;&gt;External driver")=1,1,0))</f>
        <v/>
      </c>
    </row>
    <row r="14">
      <c r="B14" s="8">
        <f>IF(A14="","",IFERROR(INDEX(Evidence_Log!$B:$B,MATCH(A14,Evidence_Log!$A:$A,0)),"check ID"))</f>
        <v/>
      </c>
      <c r="I14" s="16">
        <f>IF(OR(A14="",C14="External driver"),0,IF(COUNTIFS(D$5:D14,D14,B$5:B14,B14,C$5:C14,"&lt;&gt;External driver")=1,1,0))</f>
        <v/>
      </c>
    </row>
    <row r="15">
      <c r="B15" s="8">
        <f>IF(A15="","",IFERROR(INDEX(Evidence_Log!$B:$B,MATCH(A15,Evidence_Log!$A:$A,0)),"check ID"))</f>
        <v/>
      </c>
      <c r="I15" s="16">
        <f>IF(OR(A15="",C15="External driver"),0,IF(COUNTIFS(D$5:D15,D15,B$5:B15,B15,C$5:C15,"&lt;&gt;External driver")=1,1,0))</f>
        <v/>
      </c>
    </row>
    <row r="16">
      <c r="B16" s="8">
        <f>IF(A16="","",IFERROR(INDEX(Evidence_Log!$B:$B,MATCH(A16,Evidence_Log!$A:$A,0)),"check ID"))</f>
        <v/>
      </c>
      <c r="I16" s="16">
        <f>IF(OR(A16="",C16="External driver"),0,IF(COUNTIFS(D$5:D16,D16,B$5:B16,B16,C$5:C16,"&lt;&gt;External driver")=1,1,0))</f>
        <v/>
      </c>
    </row>
    <row r="17">
      <c r="B17" s="8">
        <f>IF(A17="","",IFERROR(INDEX(Evidence_Log!$B:$B,MATCH(A17,Evidence_Log!$A:$A,0)),"check ID"))</f>
        <v/>
      </c>
      <c r="I17" s="16">
        <f>IF(OR(A17="",C17="External driver"),0,IF(COUNTIFS(D$5:D17,D17,B$5:B17,B17,C$5:C17,"&lt;&gt;External driver")=1,1,0))</f>
        <v/>
      </c>
    </row>
    <row r="18">
      <c r="B18" s="8">
        <f>IF(A18="","",IFERROR(INDEX(Evidence_Log!$B:$B,MATCH(A18,Evidence_Log!$A:$A,0)),"check ID"))</f>
        <v/>
      </c>
      <c r="I18" s="16">
        <f>IF(OR(A18="",C18="External driver"),0,IF(COUNTIFS(D$5:D18,D18,B$5:B18,B18,C$5:C18,"&lt;&gt;External driver")=1,1,0))</f>
        <v/>
      </c>
    </row>
    <row r="19">
      <c r="B19" s="8">
        <f>IF(A19="","",IFERROR(INDEX(Evidence_Log!$B:$B,MATCH(A19,Evidence_Log!$A:$A,0)),"check ID"))</f>
        <v/>
      </c>
      <c r="I19" s="16">
        <f>IF(OR(A19="",C19="External driver"),0,IF(COUNTIFS(D$5:D19,D19,B$5:B19,B19,C$5:C19,"&lt;&gt;External driver")=1,1,0))</f>
        <v/>
      </c>
    </row>
    <row r="20">
      <c r="B20" s="8">
        <f>IF(A20="","",IFERROR(INDEX(Evidence_Log!$B:$B,MATCH(A20,Evidence_Log!$A:$A,0)),"check ID"))</f>
        <v/>
      </c>
      <c r="I20" s="16">
        <f>IF(OR(A20="",C20="External driver"),0,IF(COUNTIFS(D$5:D20,D20,B$5:B20,B20,C$5:C20,"&lt;&gt;External driver")=1,1,0))</f>
        <v/>
      </c>
    </row>
    <row r="21">
      <c r="B21" s="8">
        <f>IF(A21="","",IFERROR(INDEX(Evidence_Log!$B:$B,MATCH(A21,Evidence_Log!$A:$A,0)),"check ID"))</f>
        <v/>
      </c>
      <c r="I21" s="16">
        <f>IF(OR(A21="",C21="External driver"),0,IF(COUNTIFS(D$5:D21,D21,B$5:B21,B21,C$5:C21,"&lt;&gt;External driver")=1,1,0))</f>
        <v/>
      </c>
    </row>
    <row r="22">
      <c r="B22" s="8">
        <f>IF(A22="","",IFERROR(INDEX(Evidence_Log!$B:$B,MATCH(A22,Evidence_Log!$A:$A,0)),"check ID"))</f>
        <v/>
      </c>
      <c r="I22" s="16">
        <f>IF(OR(A22="",C22="External driver"),0,IF(COUNTIFS(D$5:D22,D22,B$5:B22,B22,C$5:C22,"&lt;&gt;External driver")=1,1,0))</f>
        <v/>
      </c>
    </row>
    <row r="23">
      <c r="B23" s="8">
        <f>IF(A23="","",IFERROR(INDEX(Evidence_Log!$B:$B,MATCH(A23,Evidence_Log!$A:$A,0)),"check ID"))</f>
        <v/>
      </c>
      <c r="I23" s="16">
        <f>IF(OR(A23="",C23="External driver"),0,IF(COUNTIFS(D$5:D23,D23,B$5:B23,B23,C$5:C23,"&lt;&gt;External driver")=1,1,0))</f>
        <v/>
      </c>
    </row>
    <row r="24">
      <c r="B24" s="8">
        <f>IF(A24="","",IFERROR(INDEX(Evidence_Log!$B:$B,MATCH(A24,Evidence_Log!$A:$A,0)),"check ID"))</f>
        <v/>
      </c>
      <c r="I24" s="16">
        <f>IF(OR(A24="",C24="External driver"),0,IF(COUNTIFS(D$5:D24,D24,B$5:B24,B24,C$5:C24,"&lt;&gt;External driver")=1,1,0))</f>
        <v/>
      </c>
    </row>
    <row r="25">
      <c r="B25" s="8">
        <f>IF(A25="","",IFERROR(INDEX(Evidence_Log!$B:$B,MATCH(A25,Evidence_Log!$A:$A,0)),"check ID"))</f>
        <v/>
      </c>
      <c r="I25" s="16">
        <f>IF(OR(A25="",C25="External driver"),0,IF(COUNTIFS(D$5:D25,D25,B$5:B25,B25,C$5:C25,"&lt;&gt;External driver")=1,1,0))</f>
        <v/>
      </c>
    </row>
    <row r="26">
      <c r="B26" s="8">
        <f>IF(A26="","",IFERROR(INDEX(Evidence_Log!$B:$B,MATCH(A26,Evidence_Log!$A:$A,0)),"check ID"))</f>
        <v/>
      </c>
      <c r="I26" s="16">
        <f>IF(OR(A26="",C26="External driver"),0,IF(COUNTIFS(D$5:D26,D26,B$5:B26,B26,C$5:C26,"&lt;&gt;External driver")=1,1,0))</f>
        <v/>
      </c>
    </row>
    <row r="27">
      <c r="B27" s="8">
        <f>IF(A27="","",IFERROR(INDEX(Evidence_Log!$B:$B,MATCH(A27,Evidence_Log!$A:$A,0)),"check ID"))</f>
        <v/>
      </c>
      <c r="I27" s="16">
        <f>IF(OR(A27="",C27="External driver"),0,IF(COUNTIFS(D$5:D27,D27,B$5:B27,B27,C$5:C27,"&lt;&gt;External driver")=1,1,0))</f>
        <v/>
      </c>
    </row>
    <row r="28">
      <c r="B28" s="8">
        <f>IF(A28="","",IFERROR(INDEX(Evidence_Log!$B:$B,MATCH(A28,Evidence_Log!$A:$A,0)),"check ID"))</f>
        <v/>
      </c>
      <c r="I28" s="16">
        <f>IF(OR(A28="",C28="External driver"),0,IF(COUNTIFS(D$5:D28,D28,B$5:B28,B28,C$5:C28,"&lt;&gt;External driver")=1,1,0))</f>
        <v/>
      </c>
    </row>
    <row r="29">
      <c r="B29" s="8">
        <f>IF(A29="","",IFERROR(INDEX(Evidence_Log!$B:$B,MATCH(A29,Evidence_Log!$A:$A,0)),"check ID"))</f>
        <v/>
      </c>
      <c r="I29" s="16">
        <f>IF(OR(A29="",C29="External driver"),0,IF(COUNTIFS(D$5:D29,D29,B$5:B29,B29,C$5:C29,"&lt;&gt;External driver")=1,1,0))</f>
        <v/>
      </c>
    </row>
    <row r="30">
      <c r="B30" s="8">
        <f>IF(A30="","",IFERROR(INDEX(Evidence_Log!$B:$B,MATCH(A30,Evidence_Log!$A:$A,0)),"check ID"))</f>
        <v/>
      </c>
      <c r="I30" s="16">
        <f>IF(OR(A30="",C30="External driver"),0,IF(COUNTIFS(D$5:D30,D30,B$5:B30,B30,C$5:C30,"&lt;&gt;External driver")=1,1,0))</f>
        <v/>
      </c>
    </row>
    <row r="31">
      <c r="B31" s="8">
        <f>IF(A31="","",IFERROR(INDEX(Evidence_Log!$B:$B,MATCH(A31,Evidence_Log!$A:$A,0)),"check ID"))</f>
        <v/>
      </c>
      <c r="I31" s="16">
        <f>IF(OR(A31="",C31="External driver"),0,IF(COUNTIFS(D$5:D31,D31,B$5:B31,B31,C$5:C31,"&lt;&gt;External driver")=1,1,0))</f>
        <v/>
      </c>
    </row>
    <row r="32">
      <c r="B32" s="8">
        <f>IF(A32="","",IFERROR(INDEX(Evidence_Log!$B:$B,MATCH(A32,Evidence_Log!$A:$A,0)),"check ID"))</f>
        <v/>
      </c>
      <c r="I32" s="16">
        <f>IF(OR(A32="",C32="External driver"),0,IF(COUNTIFS(D$5:D32,D32,B$5:B32,B32,C$5:C32,"&lt;&gt;External driver")=1,1,0))</f>
        <v/>
      </c>
    </row>
    <row r="33">
      <c r="B33" s="8">
        <f>IF(A33="","",IFERROR(INDEX(Evidence_Log!$B:$B,MATCH(A33,Evidence_Log!$A:$A,0)),"check ID"))</f>
        <v/>
      </c>
      <c r="I33" s="16">
        <f>IF(OR(A33="",C33="External driver"),0,IF(COUNTIFS(D$5:D33,D33,B$5:B33,B33,C$5:C33,"&lt;&gt;External driver")=1,1,0))</f>
        <v/>
      </c>
    </row>
    <row r="34">
      <c r="B34" s="8">
        <f>IF(A34="","",IFERROR(INDEX(Evidence_Log!$B:$B,MATCH(A34,Evidence_Log!$A:$A,0)),"check ID"))</f>
        <v/>
      </c>
      <c r="I34" s="16">
        <f>IF(OR(A34="",C34="External driver"),0,IF(COUNTIFS(D$5:D34,D34,B$5:B34,B34,C$5:C34,"&lt;&gt;External driver")=1,1,0))</f>
        <v/>
      </c>
    </row>
    <row r="35">
      <c r="B35" s="8">
        <f>IF(A35="","",IFERROR(INDEX(Evidence_Log!$B:$B,MATCH(A35,Evidence_Log!$A:$A,0)),"check ID"))</f>
        <v/>
      </c>
      <c r="I35" s="16">
        <f>IF(OR(A35="",C35="External driver"),0,IF(COUNTIFS(D$5:D35,D35,B$5:B35,B35,C$5:C35,"&lt;&gt;External driver")=1,1,0))</f>
        <v/>
      </c>
    </row>
    <row r="36">
      <c r="B36" s="8">
        <f>IF(A36="","",IFERROR(INDEX(Evidence_Log!$B:$B,MATCH(A36,Evidence_Log!$A:$A,0)),"check ID"))</f>
        <v/>
      </c>
      <c r="I36" s="16">
        <f>IF(OR(A36="",C36="External driver"),0,IF(COUNTIFS(D$5:D36,D36,B$5:B36,B36,C$5:C36,"&lt;&gt;External driver")=1,1,0))</f>
        <v/>
      </c>
    </row>
    <row r="37">
      <c r="B37" s="8">
        <f>IF(A37="","",IFERROR(INDEX(Evidence_Log!$B:$B,MATCH(A37,Evidence_Log!$A:$A,0)),"check ID"))</f>
        <v/>
      </c>
      <c r="I37" s="16">
        <f>IF(OR(A37="",C37="External driver"),0,IF(COUNTIFS(D$5:D37,D37,B$5:B37,B37,C$5:C37,"&lt;&gt;External driver")=1,1,0))</f>
        <v/>
      </c>
    </row>
    <row r="38">
      <c r="B38" s="8">
        <f>IF(A38="","",IFERROR(INDEX(Evidence_Log!$B:$B,MATCH(A38,Evidence_Log!$A:$A,0)),"check ID"))</f>
        <v/>
      </c>
      <c r="I38" s="16">
        <f>IF(OR(A38="",C38="External driver"),0,IF(COUNTIFS(D$5:D38,D38,B$5:B38,B38,C$5:C38,"&lt;&gt;External driver")=1,1,0))</f>
        <v/>
      </c>
    </row>
    <row r="39">
      <c r="B39" s="8">
        <f>IF(A39="","",IFERROR(INDEX(Evidence_Log!$B:$B,MATCH(A39,Evidence_Log!$A:$A,0)),"check ID"))</f>
        <v/>
      </c>
      <c r="I39" s="16">
        <f>IF(OR(A39="",C39="External driver"),0,IF(COUNTIFS(D$5:D39,D39,B$5:B39,B39,C$5:C39,"&lt;&gt;External driver")=1,1,0))</f>
        <v/>
      </c>
    </row>
    <row r="40">
      <c r="B40" s="8">
        <f>IF(A40="","",IFERROR(INDEX(Evidence_Log!$B:$B,MATCH(A40,Evidence_Log!$A:$A,0)),"check ID"))</f>
        <v/>
      </c>
      <c r="I40" s="16">
        <f>IF(OR(A40="",C40="External driver"),0,IF(COUNTIFS(D$5:D40,D40,B$5:B40,B40,C$5:C40,"&lt;&gt;External driver")=1,1,0))</f>
        <v/>
      </c>
    </row>
    <row r="41">
      <c r="B41" s="8">
        <f>IF(A41="","",IFERROR(INDEX(Evidence_Log!$B:$B,MATCH(A41,Evidence_Log!$A:$A,0)),"check ID"))</f>
        <v/>
      </c>
      <c r="I41" s="16">
        <f>IF(OR(A41="",C41="External driver"),0,IF(COUNTIFS(D$5:D41,D41,B$5:B41,B41,C$5:C41,"&lt;&gt;External driver")=1,1,0))</f>
        <v/>
      </c>
    </row>
    <row r="42">
      <c r="B42" s="8">
        <f>IF(A42="","",IFERROR(INDEX(Evidence_Log!$B:$B,MATCH(A42,Evidence_Log!$A:$A,0)),"check ID"))</f>
        <v/>
      </c>
      <c r="I42" s="16">
        <f>IF(OR(A42="",C42="External driver"),0,IF(COUNTIFS(D$5:D42,D42,B$5:B42,B42,C$5:C42,"&lt;&gt;External driver")=1,1,0))</f>
        <v/>
      </c>
    </row>
    <row r="43">
      <c r="B43" s="8">
        <f>IF(A43="","",IFERROR(INDEX(Evidence_Log!$B:$B,MATCH(A43,Evidence_Log!$A:$A,0)),"check ID"))</f>
        <v/>
      </c>
      <c r="I43" s="16">
        <f>IF(OR(A43="",C43="External driver"),0,IF(COUNTIFS(D$5:D43,D43,B$5:B43,B43,C$5:C43,"&lt;&gt;External driver")=1,1,0))</f>
        <v/>
      </c>
    </row>
    <row r="44">
      <c r="B44" s="8">
        <f>IF(A44="","",IFERROR(INDEX(Evidence_Log!$B:$B,MATCH(A44,Evidence_Log!$A:$A,0)),"check ID"))</f>
        <v/>
      </c>
      <c r="I44" s="16">
        <f>IF(OR(A44="",C44="External driver"),0,IF(COUNTIFS(D$5:D44,D44,B$5:B44,B44,C$5:C44,"&lt;&gt;External driver")=1,1,0))</f>
        <v/>
      </c>
    </row>
    <row r="45">
      <c r="B45" s="8">
        <f>IF(A45="","",IFERROR(INDEX(Evidence_Log!$B:$B,MATCH(A45,Evidence_Log!$A:$A,0)),"check ID"))</f>
        <v/>
      </c>
      <c r="I45" s="16">
        <f>IF(OR(A45="",C45="External driver"),0,IF(COUNTIFS(D$5:D45,D45,B$5:B45,B45,C$5:C45,"&lt;&gt;External driver")=1,1,0))</f>
        <v/>
      </c>
    </row>
    <row r="46">
      <c r="B46" s="8">
        <f>IF(A46="","",IFERROR(INDEX(Evidence_Log!$B:$B,MATCH(A46,Evidence_Log!$A:$A,0)),"check ID"))</f>
        <v/>
      </c>
      <c r="I46" s="16">
        <f>IF(OR(A46="",C46="External driver"),0,IF(COUNTIFS(D$5:D46,D46,B$5:B46,B46,C$5:C46,"&lt;&gt;External driver")=1,1,0))</f>
        <v/>
      </c>
    </row>
    <row r="47">
      <c r="B47" s="8">
        <f>IF(A47="","",IFERROR(INDEX(Evidence_Log!$B:$B,MATCH(A47,Evidence_Log!$A:$A,0)),"check ID"))</f>
        <v/>
      </c>
      <c r="I47" s="16">
        <f>IF(OR(A47="",C47="External driver"),0,IF(COUNTIFS(D$5:D47,D47,B$5:B47,B47,C$5:C47,"&lt;&gt;External driver")=1,1,0))</f>
        <v/>
      </c>
    </row>
    <row r="48">
      <c r="B48" s="8">
        <f>IF(A48="","",IFERROR(INDEX(Evidence_Log!$B:$B,MATCH(A48,Evidence_Log!$A:$A,0)),"check ID"))</f>
        <v/>
      </c>
      <c r="I48" s="16">
        <f>IF(OR(A48="",C48="External driver"),0,IF(COUNTIFS(D$5:D48,D48,B$5:B48,B48,C$5:C48,"&lt;&gt;External driver")=1,1,0))</f>
        <v/>
      </c>
    </row>
    <row r="49">
      <c r="B49" s="8">
        <f>IF(A49="","",IFERROR(INDEX(Evidence_Log!$B:$B,MATCH(A49,Evidence_Log!$A:$A,0)),"check ID"))</f>
        <v/>
      </c>
      <c r="I49" s="16">
        <f>IF(OR(A49="",C49="External driver"),0,IF(COUNTIFS(D$5:D49,D49,B$5:B49,B49,C$5:C49,"&lt;&gt;External driver")=1,1,0))</f>
        <v/>
      </c>
    </row>
    <row r="50">
      <c r="B50" s="8">
        <f>IF(A50="","",IFERROR(INDEX(Evidence_Log!$B:$B,MATCH(A50,Evidence_Log!$A:$A,0)),"check ID"))</f>
        <v/>
      </c>
      <c r="I50" s="16">
        <f>IF(OR(A50="",C50="External driver"),0,IF(COUNTIFS(D$5:D50,D50,B$5:B50,B50,C$5:C50,"&lt;&gt;External driver")=1,1,0))</f>
        <v/>
      </c>
    </row>
    <row r="51">
      <c r="B51" s="8">
        <f>IF(A51="","",IFERROR(INDEX(Evidence_Log!$B:$B,MATCH(A51,Evidence_Log!$A:$A,0)),"check ID"))</f>
        <v/>
      </c>
      <c r="I51" s="16">
        <f>IF(OR(A51="",C51="External driver"),0,IF(COUNTIFS(D$5:D51,D51,B$5:B51,B51,C$5:C51,"&lt;&gt;External driver")=1,1,0))</f>
        <v/>
      </c>
    </row>
    <row r="52">
      <c r="B52" s="8">
        <f>IF(A52="","",IFERROR(INDEX(Evidence_Log!$B:$B,MATCH(A52,Evidence_Log!$A:$A,0)),"check ID"))</f>
        <v/>
      </c>
      <c r="I52" s="16">
        <f>IF(OR(A52="",C52="External driver"),0,IF(COUNTIFS(D$5:D52,D52,B$5:B52,B52,C$5:C52,"&lt;&gt;External driver")=1,1,0))</f>
        <v/>
      </c>
    </row>
    <row r="53">
      <c r="B53" s="8">
        <f>IF(A53="","",IFERROR(INDEX(Evidence_Log!$B:$B,MATCH(A53,Evidence_Log!$A:$A,0)),"check ID"))</f>
        <v/>
      </c>
      <c r="I53" s="16">
        <f>IF(OR(A53="",C53="External driver"),0,IF(COUNTIFS(D$5:D53,D53,B$5:B53,B53,C$5:C53,"&lt;&gt;External driver")=1,1,0))</f>
        <v/>
      </c>
    </row>
    <row r="54">
      <c r="B54" s="8">
        <f>IF(A54="","",IFERROR(INDEX(Evidence_Log!$B:$B,MATCH(A54,Evidence_Log!$A:$A,0)),"check ID"))</f>
        <v/>
      </c>
      <c r="I54" s="16">
        <f>IF(OR(A54="",C54="External driver"),0,IF(COUNTIFS(D$5:D54,D54,B$5:B54,B54,C$5:C54,"&lt;&gt;External driver")=1,1,0))</f>
        <v/>
      </c>
    </row>
    <row r="55">
      <c r="B55" s="8">
        <f>IF(A55="","",IFERROR(INDEX(Evidence_Log!$B:$B,MATCH(A55,Evidence_Log!$A:$A,0)),"check ID"))</f>
        <v/>
      </c>
      <c r="I55" s="16">
        <f>IF(OR(A55="",C55="External driver"),0,IF(COUNTIFS(D$5:D55,D55,B$5:B55,B55,C$5:C55,"&lt;&gt;External driver")=1,1,0))</f>
        <v/>
      </c>
    </row>
    <row r="56">
      <c r="B56" s="8">
        <f>IF(A56="","",IFERROR(INDEX(Evidence_Log!$B:$B,MATCH(A56,Evidence_Log!$A:$A,0)),"check ID"))</f>
        <v/>
      </c>
      <c r="I56" s="16">
        <f>IF(OR(A56="",C56="External driver"),0,IF(COUNTIFS(D$5:D56,D56,B$5:B56,B56,C$5:C56,"&lt;&gt;External driver")=1,1,0))</f>
        <v/>
      </c>
    </row>
    <row r="57">
      <c r="B57" s="8">
        <f>IF(A57="","",IFERROR(INDEX(Evidence_Log!$B:$B,MATCH(A57,Evidence_Log!$A:$A,0)),"check ID"))</f>
        <v/>
      </c>
      <c r="I57" s="16">
        <f>IF(OR(A57="",C57="External driver"),0,IF(COUNTIFS(D$5:D57,D57,B$5:B57,B57,C$5:C57,"&lt;&gt;External driver")=1,1,0))</f>
        <v/>
      </c>
    </row>
    <row r="58">
      <c r="B58" s="8">
        <f>IF(A58="","",IFERROR(INDEX(Evidence_Log!$B:$B,MATCH(A58,Evidence_Log!$A:$A,0)),"check ID"))</f>
        <v/>
      </c>
      <c r="I58" s="16">
        <f>IF(OR(A58="",C58="External driver"),0,IF(COUNTIFS(D$5:D58,D58,B$5:B58,B58,C$5:C58,"&lt;&gt;External driver")=1,1,0))</f>
        <v/>
      </c>
    </row>
    <row r="59">
      <c r="B59" s="8">
        <f>IF(A59="","",IFERROR(INDEX(Evidence_Log!$B:$B,MATCH(A59,Evidence_Log!$A:$A,0)),"check ID"))</f>
        <v/>
      </c>
      <c r="I59" s="16">
        <f>IF(OR(A59="",C59="External driver"),0,IF(COUNTIFS(D$5:D59,D59,B$5:B59,B59,C$5:C59,"&lt;&gt;External driver")=1,1,0))</f>
        <v/>
      </c>
    </row>
    <row r="60">
      <c r="B60" s="8">
        <f>IF(A60="","",IFERROR(INDEX(Evidence_Log!$B:$B,MATCH(A60,Evidence_Log!$A:$A,0)),"check ID"))</f>
        <v/>
      </c>
      <c r="I60" s="16">
        <f>IF(OR(A60="",C60="External driver"),0,IF(COUNTIFS(D$5:D60,D60,B$5:B60,B60,C$5:C60,"&lt;&gt;External driver")=1,1,0))</f>
        <v/>
      </c>
    </row>
    <row r="61">
      <c r="B61" s="8">
        <f>IF(A61="","",IFERROR(INDEX(Evidence_Log!$B:$B,MATCH(A61,Evidence_Log!$A:$A,0)),"check ID"))</f>
        <v/>
      </c>
      <c r="I61" s="16">
        <f>IF(OR(A61="",C61="External driver"),0,IF(COUNTIFS(D$5:D61,D61,B$5:B61,B61,C$5:C61,"&lt;&gt;External driver")=1,1,0))</f>
        <v/>
      </c>
    </row>
    <row r="62">
      <c r="B62" s="8">
        <f>IF(A62="","",IFERROR(INDEX(Evidence_Log!$B:$B,MATCH(A62,Evidence_Log!$A:$A,0)),"check ID"))</f>
        <v/>
      </c>
      <c r="I62" s="16">
        <f>IF(OR(A62="",C62="External driver"),0,IF(COUNTIFS(D$5:D62,D62,B$5:B62,B62,C$5:C62,"&lt;&gt;External driver")=1,1,0))</f>
        <v/>
      </c>
    </row>
    <row r="63">
      <c r="B63" s="8">
        <f>IF(A63="","",IFERROR(INDEX(Evidence_Log!$B:$B,MATCH(A63,Evidence_Log!$A:$A,0)),"check ID"))</f>
        <v/>
      </c>
      <c r="I63" s="16">
        <f>IF(OR(A63="",C63="External driver"),0,IF(COUNTIFS(D$5:D63,D63,B$5:B63,B63,C$5:C63,"&lt;&gt;External driver")=1,1,0))</f>
        <v/>
      </c>
    </row>
    <row r="64">
      <c r="B64" s="8">
        <f>IF(A64="","",IFERROR(INDEX(Evidence_Log!$B:$B,MATCH(A64,Evidence_Log!$A:$A,0)),"check ID"))</f>
        <v/>
      </c>
      <c r="I64" s="16">
        <f>IF(OR(A64="",C64="External driver"),0,IF(COUNTIFS(D$5:D64,D64,B$5:B64,B64,C$5:C64,"&lt;&gt;External driver")=1,1,0))</f>
        <v/>
      </c>
    </row>
    <row r="65">
      <c r="B65" s="8">
        <f>IF(A65="","",IFERROR(INDEX(Evidence_Log!$B:$B,MATCH(A65,Evidence_Log!$A:$A,0)),"check ID"))</f>
        <v/>
      </c>
      <c r="I65" s="16">
        <f>IF(OR(A65="",C65="External driver"),0,IF(COUNTIFS(D$5:D65,D65,B$5:B65,B65,C$5:C65,"&lt;&gt;External driver")=1,1,0))</f>
        <v/>
      </c>
    </row>
    <row r="66">
      <c r="B66" s="8">
        <f>IF(A66="","",IFERROR(INDEX(Evidence_Log!$B:$B,MATCH(A66,Evidence_Log!$A:$A,0)),"check ID"))</f>
        <v/>
      </c>
      <c r="I66" s="16">
        <f>IF(OR(A66="",C66="External driver"),0,IF(COUNTIFS(D$5:D66,D66,B$5:B66,B66,C$5:C66,"&lt;&gt;External driver")=1,1,0))</f>
        <v/>
      </c>
    </row>
    <row r="67">
      <c r="B67" s="8">
        <f>IF(A67="","",IFERROR(INDEX(Evidence_Log!$B:$B,MATCH(A67,Evidence_Log!$A:$A,0)),"check ID"))</f>
        <v/>
      </c>
      <c r="I67" s="16">
        <f>IF(OR(A67="",C67="External driver"),0,IF(COUNTIFS(D$5:D67,D67,B$5:B67,B67,C$5:C67,"&lt;&gt;External driver")=1,1,0))</f>
        <v/>
      </c>
    </row>
    <row r="68">
      <c r="B68" s="8">
        <f>IF(A68="","",IFERROR(INDEX(Evidence_Log!$B:$B,MATCH(A68,Evidence_Log!$A:$A,0)),"check ID"))</f>
        <v/>
      </c>
      <c r="I68" s="16">
        <f>IF(OR(A68="",C68="External driver"),0,IF(COUNTIFS(D$5:D68,D68,B$5:B68,B68,C$5:C68,"&lt;&gt;External driver")=1,1,0))</f>
        <v/>
      </c>
    </row>
    <row r="69">
      <c r="B69" s="8">
        <f>IF(A69="","",IFERROR(INDEX(Evidence_Log!$B:$B,MATCH(A69,Evidence_Log!$A:$A,0)),"check ID"))</f>
        <v/>
      </c>
      <c r="I69" s="16">
        <f>IF(OR(A69="",C69="External driver"),0,IF(COUNTIFS(D$5:D69,D69,B$5:B69,B69,C$5:C69,"&lt;&gt;External driver")=1,1,0))</f>
        <v/>
      </c>
    </row>
    <row r="70">
      <c r="B70" s="8">
        <f>IF(A70="","",IFERROR(INDEX(Evidence_Log!$B:$B,MATCH(A70,Evidence_Log!$A:$A,0)),"check ID"))</f>
        <v/>
      </c>
      <c r="I70" s="16">
        <f>IF(OR(A70="",C70="External driver"),0,IF(COUNTIFS(D$5:D70,D70,B$5:B70,B70,C$5:C70,"&lt;&gt;External driver")=1,1,0))</f>
        <v/>
      </c>
    </row>
    <row r="71">
      <c r="B71" s="8">
        <f>IF(A71="","",IFERROR(INDEX(Evidence_Log!$B:$B,MATCH(A71,Evidence_Log!$A:$A,0)),"check ID"))</f>
        <v/>
      </c>
      <c r="I71" s="16">
        <f>IF(OR(A71="",C71="External driver"),0,IF(COUNTIFS(D$5:D71,D71,B$5:B71,B71,C$5:C71,"&lt;&gt;External driver")=1,1,0))</f>
        <v/>
      </c>
    </row>
    <row r="72">
      <c r="B72" s="8">
        <f>IF(A72="","",IFERROR(INDEX(Evidence_Log!$B:$B,MATCH(A72,Evidence_Log!$A:$A,0)),"check ID"))</f>
        <v/>
      </c>
      <c r="I72" s="16">
        <f>IF(OR(A72="",C72="External driver"),0,IF(COUNTIFS(D$5:D72,D72,B$5:B72,B72,C$5:C72,"&lt;&gt;External driver")=1,1,0))</f>
        <v/>
      </c>
    </row>
    <row r="73">
      <c r="B73" s="8">
        <f>IF(A73="","",IFERROR(INDEX(Evidence_Log!$B:$B,MATCH(A73,Evidence_Log!$A:$A,0)),"check ID"))</f>
        <v/>
      </c>
      <c r="I73" s="16">
        <f>IF(OR(A73="",C73="External driver"),0,IF(COUNTIFS(D$5:D73,D73,B$5:B73,B73,C$5:C73,"&lt;&gt;External driver")=1,1,0))</f>
        <v/>
      </c>
    </row>
    <row r="74">
      <c r="B74" s="8">
        <f>IF(A74="","",IFERROR(INDEX(Evidence_Log!$B:$B,MATCH(A74,Evidence_Log!$A:$A,0)),"check ID"))</f>
        <v/>
      </c>
      <c r="I74" s="16">
        <f>IF(OR(A74="",C74="External driver"),0,IF(COUNTIFS(D$5:D74,D74,B$5:B74,B74,C$5:C74,"&lt;&gt;External driver")=1,1,0))</f>
        <v/>
      </c>
    </row>
    <row r="75">
      <c r="B75" s="8">
        <f>IF(A75="","",IFERROR(INDEX(Evidence_Log!$B:$B,MATCH(A75,Evidence_Log!$A:$A,0)),"check ID"))</f>
        <v/>
      </c>
      <c r="I75" s="16">
        <f>IF(OR(A75="",C75="External driver"),0,IF(COUNTIFS(D$5:D75,D75,B$5:B75,B75,C$5:C75,"&lt;&gt;External driver")=1,1,0))</f>
        <v/>
      </c>
    </row>
    <row r="76">
      <c r="B76" s="8">
        <f>IF(A76="","",IFERROR(INDEX(Evidence_Log!$B:$B,MATCH(A76,Evidence_Log!$A:$A,0)),"check ID"))</f>
        <v/>
      </c>
      <c r="I76" s="16">
        <f>IF(OR(A76="",C76="External driver"),0,IF(COUNTIFS(D$5:D76,D76,B$5:B76,B76,C$5:C76,"&lt;&gt;External driver")=1,1,0))</f>
        <v/>
      </c>
    </row>
    <row r="77">
      <c r="B77" s="8">
        <f>IF(A77="","",IFERROR(INDEX(Evidence_Log!$B:$B,MATCH(A77,Evidence_Log!$A:$A,0)),"check ID"))</f>
        <v/>
      </c>
      <c r="I77" s="16">
        <f>IF(OR(A77="",C77="External driver"),0,IF(COUNTIFS(D$5:D77,D77,B$5:B77,B77,C$5:C77,"&lt;&gt;External driver")=1,1,0))</f>
        <v/>
      </c>
    </row>
    <row r="78">
      <c r="B78" s="8">
        <f>IF(A78="","",IFERROR(INDEX(Evidence_Log!$B:$B,MATCH(A78,Evidence_Log!$A:$A,0)),"check ID"))</f>
        <v/>
      </c>
      <c r="I78" s="16">
        <f>IF(OR(A78="",C78="External driver"),0,IF(COUNTIFS(D$5:D78,D78,B$5:B78,B78,C$5:C78,"&lt;&gt;External driver")=1,1,0))</f>
        <v/>
      </c>
    </row>
    <row r="79">
      <c r="B79" s="8">
        <f>IF(A79="","",IFERROR(INDEX(Evidence_Log!$B:$B,MATCH(A79,Evidence_Log!$A:$A,0)),"check ID"))</f>
        <v/>
      </c>
      <c r="I79" s="16">
        <f>IF(OR(A79="",C79="External driver"),0,IF(COUNTIFS(D$5:D79,D79,B$5:B79,B79,C$5:C79,"&lt;&gt;External driver")=1,1,0))</f>
        <v/>
      </c>
    </row>
    <row r="80">
      <c r="B80" s="8">
        <f>IF(A80="","",IFERROR(INDEX(Evidence_Log!$B:$B,MATCH(A80,Evidence_Log!$A:$A,0)),"check ID"))</f>
        <v/>
      </c>
      <c r="I80" s="16">
        <f>IF(OR(A80="",C80="External driver"),0,IF(COUNTIFS(D$5:D80,D80,B$5:B80,B80,C$5:C80,"&lt;&gt;External driver")=1,1,0))</f>
        <v/>
      </c>
    </row>
    <row r="81">
      <c r="B81" s="8">
        <f>IF(A81="","",IFERROR(INDEX(Evidence_Log!$B:$B,MATCH(A81,Evidence_Log!$A:$A,0)),"check ID"))</f>
        <v/>
      </c>
      <c r="I81" s="16">
        <f>IF(OR(A81="",C81="External driver"),0,IF(COUNTIFS(D$5:D81,D81,B$5:B81,B81,C$5:C81,"&lt;&gt;External driver")=1,1,0))</f>
        <v/>
      </c>
    </row>
    <row r="82">
      <c r="B82" s="8">
        <f>IF(A82="","",IFERROR(INDEX(Evidence_Log!$B:$B,MATCH(A82,Evidence_Log!$A:$A,0)),"check ID"))</f>
        <v/>
      </c>
      <c r="I82" s="16">
        <f>IF(OR(A82="",C82="External driver"),0,IF(COUNTIFS(D$5:D82,D82,B$5:B82,B82,C$5:C82,"&lt;&gt;External driver")=1,1,0))</f>
        <v/>
      </c>
    </row>
    <row r="83">
      <c r="B83" s="8">
        <f>IF(A83="","",IFERROR(INDEX(Evidence_Log!$B:$B,MATCH(A83,Evidence_Log!$A:$A,0)),"check ID"))</f>
        <v/>
      </c>
      <c r="I83" s="16">
        <f>IF(OR(A83="",C83="External driver"),0,IF(COUNTIFS(D$5:D83,D83,B$5:B83,B83,C$5:C83,"&lt;&gt;External driver")=1,1,0))</f>
        <v/>
      </c>
    </row>
    <row r="84">
      <c r="B84" s="8">
        <f>IF(A84="","",IFERROR(INDEX(Evidence_Log!$B:$B,MATCH(A84,Evidence_Log!$A:$A,0)),"check ID"))</f>
        <v/>
      </c>
      <c r="I84" s="16">
        <f>IF(OR(A84="",C84="External driver"),0,IF(COUNTIFS(D$5:D84,D84,B$5:B84,B84,C$5:C84,"&lt;&gt;External driver")=1,1,0))</f>
        <v/>
      </c>
    </row>
    <row r="85">
      <c r="B85" s="8">
        <f>IF(A85="","",IFERROR(INDEX(Evidence_Log!$B:$B,MATCH(A85,Evidence_Log!$A:$A,0)),"check ID"))</f>
        <v/>
      </c>
      <c r="I85" s="16">
        <f>IF(OR(A85="",C85="External driver"),0,IF(COUNTIFS(D$5:D85,D85,B$5:B85,B85,C$5:C85,"&lt;&gt;External driver")=1,1,0))</f>
        <v/>
      </c>
    </row>
    <row r="86">
      <c r="B86" s="8">
        <f>IF(A86="","",IFERROR(INDEX(Evidence_Log!$B:$B,MATCH(A86,Evidence_Log!$A:$A,0)),"check ID"))</f>
        <v/>
      </c>
      <c r="I86" s="16">
        <f>IF(OR(A86="",C86="External driver"),0,IF(COUNTIFS(D$5:D86,D86,B$5:B86,B86,C$5:C86,"&lt;&gt;External driver")=1,1,0))</f>
        <v/>
      </c>
    </row>
    <row r="87">
      <c r="B87" s="8">
        <f>IF(A87="","",IFERROR(INDEX(Evidence_Log!$B:$B,MATCH(A87,Evidence_Log!$A:$A,0)),"check ID"))</f>
        <v/>
      </c>
      <c r="I87" s="16">
        <f>IF(OR(A87="",C87="External driver"),0,IF(COUNTIFS(D$5:D87,D87,B$5:B87,B87,C$5:C87,"&lt;&gt;External driver")=1,1,0))</f>
        <v/>
      </c>
    </row>
    <row r="88">
      <c r="B88" s="8">
        <f>IF(A88="","",IFERROR(INDEX(Evidence_Log!$B:$B,MATCH(A88,Evidence_Log!$A:$A,0)),"check ID"))</f>
        <v/>
      </c>
      <c r="I88" s="16">
        <f>IF(OR(A88="",C88="External driver"),0,IF(COUNTIFS(D$5:D88,D88,B$5:B88,B88,C$5:C88,"&lt;&gt;External driver")=1,1,0))</f>
        <v/>
      </c>
    </row>
    <row r="89">
      <c r="B89" s="8">
        <f>IF(A89="","",IFERROR(INDEX(Evidence_Log!$B:$B,MATCH(A89,Evidence_Log!$A:$A,0)),"check ID"))</f>
        <v/>
      </c>
      <c r="I89" s="16">
        <f>IF(OR(A89="",C89="External driver"),0,IF(COUNTIFS(D$5:D89,D89,B$5:B89,B89,C$5:C89,"&lt;&gt;External driver")=1,1,0))</f>
        <v/>
      </c>
    </row>
    <row r="90">
      <c r="B90" s="8">
        <f>IF(A90="","",IFERROR(INDEX(Evidence_Log!$B:$B,MATCH(A90,Evidence_Log!$A:$A,0)),"check ID"))</f>
        <v/>
      </c>
      <c r="I90" s="16">
        <f>IF(OR(A90="",C90="External driver"),0,IF(COUNTIFS(D$5:D90,D90,B$5:B90,B90,C$5:C90,"&lt;&gt;External driver")=1,1,0))</f>
        <v/>
      </c>
    </row>
    <row r="91">
      <c r="B91" s="8">
        <f>IF(A91="","",IFERROR(INDEX(Evidence_Log!$B:$B,MATCH(A91,Evidence_Log!$A:$A,0)),"check ID"))</f>
        <v/>
      </c>
      <c r="I91" s="16">
        <f>IF(OR(A91="",C91="External driver"),0,IF(COUNTIFS(D$5:D91,D91,B$5:B91,B91,C$5:C91,"&lt;&gt;External driver")=1,1,0))</f>
        <v/>
      </c>
    </row>
    <row r="92">
      <c r="B92" s="8">
        <f>IF(A92="","",IFERROR(INDEX(Evidence_Log!$B:$B,MATCH(A92,Evidence_Log!$A:$A,0)),"check ID"))</f>
        <v/>
      </c>
      <c r="I92" s="16">
        <f>IF(OR(A92="",C92="External driver"),0,IF(COUNTIFS(D$5:D92,D92,B$5:B92,B92,C$5:C92,"&lt;&gt;External driver")=1,1,0))</f>
        <v/>
      </c>
    </row>
    <row r="93">
      <c r="B93" s="8">
        <f>IF(A93="","",IFERROR(INDEX(Evidence_Log!$B:$B,MATCH(A93,Evidence_Log!$A:$A,0)),"check ID"))</f>
        <v/>
      </c>
      <c r="I93" s="16">
        <f>IF(OR(A93="",C93="External driver"),0,IF(COUNTIFS(D$5:D93,D93,B$5:B93,B93,C$5:C93,"&lt;&gt;External driver")=1,1,0))</f>
        <v/>
      </c>
    </row>
    <row r="94">
      <c r="B94" s="8">
        <f>IF(A94="","",IFERROR(INDEX(Evidence_Log!$B:$B,MATCH(A94,Evidence_Log!$A:$A,0)),"check ID"))</f>
        <v/>
      </c>
      <c r="I94" s="16">
        <f>IF(OR(A94="",C94="External driver"),0,IF(COUNTIFS(D$5:D94,D94,B$5:B94,B94,C$5:C94,"&lt;&gt;External driver")=1,1,0))</f>
        <v/>
      </c>
    </row>
    <row r="95">
      <c r="B95" s="8">
        <f>IF(A95="","",IFERROR(INDEX(Evidence_Log!$B:$B,MATCH(A95,Evidence_Log!$A:$A,0)),"check ID"))</f>
        <v/>
      </c>
      <c r="I95" s="16">
        <f>IF(OR(A95="",C95="External driver"),0,IF(COUNTIFS(D$5:D95,D95,B$5:B95,B95,C$5:C95,"&lt;&gt;External driver")=1,1,0))</f>
        <v/>
      </c>
    </row>
    <row r="96">
      <c r="B96" s="8">
        <f>IF(A96="","",IFERROR(INDEX(Evidence_Log!$B:$B,MATCH(A96,Evidence_Log!$A:$A,0)),"check ID"))</f>
        <v/>
      </c>
      <c r="I96" s="16">
        <f>IF(OR(A96="",C96="External driver"),0,IF(COUNTIFS(D$5:D96,D96,B$5:B96,B96,C$5:C96,"&lt;&gt;External driver")=1,1,0))</f>
        <v/>
      </c>
    </row>
    <row r="97">
      <c r="B97" s="8">
        <f>IF(A97="","",IFERROR(INDEX(Evidence_Log!$B:$B,MATCH(A97,Evidence_Log!$A:$A,0)),"check ID"))</f>
        <v/>
      </c>
      <c r="I97" s="16">
        <f>IF(OR(A97="",C97="External driver"),0,IF(COUNTIFS(D$5:D97,D97,B$5:B97,B97,C$5:C97,"&lt;&gt;External driver")=1,1,0))</f>
        <v/>
      </c>
    </row>
    <row r="98">
      <c r="B98" s="8">
        <f>IF(A98="","",IFERROR(INDEX(Evidence_Log!$B:$B,MATCH(A98,Evidence_Log!$A:$A,0)),"check ID"))</f>
        <v/>
      </c>
      <c r="I98" s="16">
        <f>IF(OR(A98="",C98="External driver"),0,IF(COUNTIFS(D$5:D98,D98,B$5:B98,B98,C$5:C98,"&lt;&gt;External driver")=1,1,0))</f>
        <v/>
      </c>
    </row>
    <row r="99">
      <c r="B99" s="8">
        <f>IF(A99="","",IFERROR(INDEX(Evidence_Log!$B:$B,MATCH(A99,Evidence_Log!$A:$A,0)),"check ID"))</f>
        <v/>
      </c>
      <c r="I99" s="16">
        <f>IF(OR(A99="",C99="External driver"),0,IF(COUNTIFS(D$5:D99,D99,B$5:B99,B99,C$5:C99,"&lt;&gt;External driver")=1,1,0))</f>
        <v/>
      </c>
    </row>
    <row r="100">
      <c r="B100" s="8">
        <f>IF(A100="","",IFERROR(INDEX(Evidence_Log!$B:$B,MATCH(A100,Evidence_Log!$A:$A,0)),"check ID"))</f>
        <v/>
      </c>
      <c r="I100" s="16">
        <f>IF(OR(A100="",C100="External driver"),0,IF(COUNTIFS(D$5:D100,D100,B$5:B100,B100,C$5:C100,"&lt;&gt;External driver")=1,1,0))</f>
        <v/>
      </c>
    </row>
    <row r="101">
      <c r="B101" s="8">
        <f>IF(A101="","",IFERROR(INDEX(Evidence_Log!$B:$B,MATCH(A101,Evidence_Log!$A:$A,0)),"check ID"))</f>
        <v/>
      </c>
      <c r="I101" s="16">
        <f>IF(OR(A101="",C101="External driver"),0,IF(COUNTIFS(D$5:D101,D101,B$5:B101,B101,C$5:C101,"&lt;&gt;External driver")=1,1,0))</f>
        <v/>
      </c>
    </row>
    <row r="102">
      <c r="B102" s="8">
        <f>IF(A102="","",IFERROR(INDEX(Evidence_Log!$B:$B,MATCH(A102,Evidence_Log!$A:$A,0)),"check ID"))</f>
        <v/>
      </c>
      <c r="I102" s="16">
        <f>IF(OR(A102="",C102="External driver"),0,IF(COUNTIFS(D$5:D102,D102,B$5:B102,B102,C$5:C102,"&lt;&gt;External driver")=1,1,0))</f>
        <v/>
      </c>
    </row>
    <row r="103">
      <c r="B103" s="8">
        <f>IF(A103="","",IFERROR(INDEX(Evidence_Log!$B:$B,MATCH(A103,Evidence_Log!$A:$A,0)),"check ID"))</f>
        <v/>
      </c>
      <c r="I103" s="16">
        <f>IF(OR(A103="",C103="External driver"),0,IF(COUNTIFS(D$5:D103,D103,B$5:B103,B103,C$5:C103,"&lt;&gt;External driver")=1,1,0))</f>
        <v/>
      </c>
    </row>
    <row r="104">
      <c r="B104" s="8">
        <f>IF(A104="","",IFERROR(INDEX(Evidence_Log!$B:$B,MATCH(A104,Evidence_Log!$A:$A,0)),"check ID"))</f>
        <v/>
      </c>
      <c r="I104" s="16">
        <f>IF(OR(A104="",C104="External driver"),0,IF(COUNTIFS(D$5:D104,D104,B$5:B104,B104,C$5:C104,"&lt;&gt;External driver")=1,1,0))</f>
        <v/>
      </c>
    </row>
    <row r="105">
      <c r="B105" s="8">
        <f>IF(A105="","",IFERROR(INDEX(Evidence_Log!$B:$B,MATCH(A105,Evidence_Log!$A:$A,0)),"check ID"))</f>
        <v/>
      </c>
      <c r="I105" s="16">
        <f>IF(OR(A105="",C105="External driver"),0,IF(COUNTIFS(D$5:D105,D105,B$5:B105,B105,C$5:C105,"&lt;&gt;External driver")=1,1,0))</f>
        <v/>
      </c>
    </row>
    <row r="106">
      <c r="B106" s="8">
        <f>IF(A106="","",IFERROR(INDEX(Evidence_Log!$B:$B,MATCH(A106,Evidence_Log!$A:$A,0)),"check ID"))</f>
        <v/>
      </c>
      <c r="I106" s="16">
        <f>IF(OR(A106="",C106="External driver"),0,IF(COUNTIFS(D$5:D106,D106,B$5:B106,B106,C$5:C106,"&lt;&gt;External driver")=1,1,0))</f>
        <v/>
      </c>
    </row>
    <row r="107">
      <c r="B107" s="8">
        <f>IF(A107="","",IFERROR(INDEX(Evidence_Log!$B:$B,MATCH(A107,Evidence_Log!$A:$A,0)),"check ID"))</f>
        <v/>
      </c>
      <c r="I107" s="16">
        <f>IF(OR(A107="",C107="External driver"),0,IF(COUNTIFS(D$5:D107,D107,B$5:B107,B107,C$5:C107,"&lt;&gt;External driver")=1,1,0))</f>
        <v/>
      </c>
    </row>
    <row r="108">
      <c r="B108" s="8">
        <f>IF(A108="","",IFERROR(INDEX(Evidence_Log!$B:$B,MATCH(A108,Evidence_Log!$A:$A,0)),"check ID"))</f>
        <v/>
      </c>
      <c r="I108" s="16">
        <f>IF(OR(A108="",C108="External driver"),0,IF(COUNTIFS(D$5:D108,D108,B$5:B108,B108,C$5:C108,"&lt;&gt;External driver")=1,1,0))</f>
        <v/>
      </c>
    </row>
    <row r="109">
      <c r="B109" s="8">
        <f>IF(A109="","",IFERROR(INDEX(Evidence_Log!$B:$B,MATCH(A109,Evidence_Log!$A:$A,0)),"check ID"))</f>
        <v/>
      </c>
      <c r="I109" s="16">
        <f>IF(OR(A109="",C109="External driver"),0,IF(COUNTIFS(D$5:D109,D109,B$5:B109,B109,C$5:C109,"&lt;&gt;External driver")=1,1,0))</f>
        <v/>
      </c>
    </row>
    <row r="110">
      <c r="B110" s="8">
        <f>IF(A110="","",IFERROR(INDEX(Evidence_Log!$B:$B,MATCH(A110,Evidence_Log!$A:$A,0)),"check ID"))</f>
        <v/>
      </c>
      <c r="I110" s="16">
        <f>IF(OR(A110="",C110="External driver"),0,IF(COUNTIFS(D$5:D110,D110,B$5:B110,B110,C$5:C110,"&lt;&gt;External driver")=1,1,0))</f>
        <v/>
      </c>
    </row>
    <row r="111">
      <c r="B111" s="8">
        <f>IF(A111="","",IFERROR(INDEX(Evidence_Log!$B:$B,MATCH(A111,Evidence_Log!$A:$A,0)),"check ID"))</f>
        <v/>
      </c>
      <c r="I111" s="16">
        <f>IF(OR(A111="",C111="External driver"),0,IF(COUNTIFS(D$5:D111,D111,B$5:B111,B111,C$5:C111,"&lt;&gt;External driver")=1,1,0))</f>
        <v/>
      </c>
    </row>
    <row r="112">
      <c r="B112" s="8">
        <f>IF(A112="","",IFERROR(INDEX(Evidence_Log!$B:$B,MATCH(A112,Evidence_Log!$A:$A,0)),"check ID"))</f>
        <v/>
      </c>
      <c r="I112" s="16">
        <f>IF(OR(A112="",C112="External driver"),0,IF(COUNTIFS(D$5:D112,D112,B$5:B112,B112,C$5:C112,"&lt;&gt;External driver")=1,1,0))</f>
        <v/>
      </c>
    </row>
    <row r="113">
      <c r="B113" s="8">
        <f>IF(A113="","",IFERROR(INDEX(Evidence_Log!$B:$B,MATCH(A113,Evidence_Log!$A:$A,0)),"check ID"))</f>
        <v/>
      </c>
      <c r="I113" s="16">
        <f>IF(OR(A113="",C113="External driver"),0,IF(COUNTIFS(D$5:D113,D113,B$5:B113,B113,C$5:C113,"&lt;&gt;External driver")=1,1,0))</f>
        <v/>
      </c>
    </row>
    <row r="114">
      <c r="B114" s="8">
        <f>IF(A114="","",IFERROR(INDEX(Evidence_Log!$B:$B,MATCH(A114,Evidence_Log!$A:$A,0)),"check ID"))</f>
        <v/>
      </c>
      <c r="I114" s="16">
        <f>IF(OR(A114="",C114="External driver"),0,IF(COUNTIFS(D$5:D114,D114,B$5:B114,B114,C$5:C114,"&lt;&gt;External driver")=1,1,0))</f>
        <v/>
      </c>
    </row>
    <row r="115">
      <c r="B115" s="8">
        <f>IF(A115="","",IFERROR(INDEX(Evidence_Log!$B:$B,MATCH(A115,Evidence_Log!$A:$A,0)),"check ID"))</f>
        <v/>
      </c>
      <c r="I115" s="16">
        <f>IF(OR(A115="",C115="External driver"),0,IF(COUNTIFS(D$5:D115,D115,B$5:B115,B115,C$5:C115,"&lt;&gt;External driver")=1,1,0))</f>
        <v/>
      </c>
    </row>
    <row r="116">
      <c r="B116" s="8">
        <f>IF(A116="","",IFERROR(INDEX(Evidence_Log!$B:$B,MATCH(A116,Evidence_Log!$A:$A,0)),"check ID"))</f>
        <v/>
      </c>
      <c r="I116" s="16">
        <f>IF(OR(A116="",C116="External driver"),0,IF(COUNTIFS(D$5:D116,D116,B$5:B116,B116,C$5:C116,"&lt;&gt;External driver")=1,1,0))</f>
        <v/>
      </c>
    </row>
    <row r="117">
      <c r="B117" s="8">
        <f>IF(A117="","",IFERROR(INDEX(Evidence_Log!$B:$B,MATCH(A117,Evidence_Log!$A:$A,0)),"check ID"))</f>
        <v/>
      </c>
      <c r="I117" s="16">
        <f>IF(OR(A117="",C117="External driver"),0,IF(COUNTIFS(D$5:D117,D117,B$5:B117,B117,C$5:C117,"&lt;&gt;External driver")=1,1,0))</f>
        <v/>
      </c>
    </row>
    <row r="118">
      <c r="B118" s="8">
        <f>IF(A118="","",IFERROR(INDEX(Evidence_Log!$B:$B,MATCH(A118,Evidence_Log!$A:$A,0)),"check ID"))</f>
        <v/>
      </c>
      <c r="I118" s="16">
        <f>IF(OR(A118="",C118="External driver"),0,IF(COUNTIFS(D$5:D118,D118,B$5:B118,B118,C$5:C118,"&lt;&gt;External driver")=1,1,0))</f>
        <v/>
      </c>
    </row>
    <row r="119">
      <c r="B119" s="8">
        <f>IF(A119="","",IFERROR(INDEX(Evidence_Log!$B:$B,MATCH(A119,Evidence_Log!$A:$A,0)),"check ID"))</f>
        <v/>
      </c>
      <c r="I119" s="16">
        <f>IF(OR(A119="",C119="External driver"),0,IF(COUNTIFS(D$5:D119,D119,B$5:B119,B119,C$5:C119,"&lt;&gt;External driver")=1,1,0))</f>
        <v/>
      </c>
    </row>
    <row r="120">
      <c r="B120" s="8">
        <f>IF(A120="","",IFERROR(INDEX(Evidence_Log!$B:$B,MATCH(A120,Evidence_Log!$A:$A,0)),"check ID"))</f>
        <v/>
      </c>
      <c r="I120" s="16">
        <f>IF(OR(A120="",C120="External driver"),0,IF(COUNTIFS(D$5:D120,D120,B$5:B120,B120,C$5:C120,"&lt;&gt;External driver")=1,1,0))</f>
        <v/>
      </c>
    </row>
    <row r="121">
      <c r="B121" s="8">
        <f>IF(A121="","",IFERROR(INDEX(Evidence_Log!$B:$B,MATCH(A121,Evidence_Log!$A:$A,0)),"check ID"))</f>
        <v/>
      </c>
      <c r="I121" s="16">
        <f>IF(OR(A121="",C121="External driver"),0,IF(COUNTIFS(D$5:D121,D121,B$5:B121,B121,C$5:C121,"&lt;&gt;External driver")=1,1,0))</f>
        <v/>
      </c>
    </row>
    <row r="122">
      <c r="B122" s="8">
        <f>IF(A122="","",IFERROR(INDEX(Evidence_Log!$B:$B,MATCH(A122,Evidence_Log!$A:$A,0)),"check ID"))</f>
        <v/>
      </c>
      <c r="I122" s="16">
        <f>IF(OR(A122="",C122="External driver"),0,IF(COUNTIFS(D$5:D122,D122,B$5:B122,B122,C$5:C122,"&lt;&gt;External driver")=1,1,0))</f>
        <v/>
      </c>
    </row>
    <row r="123">
      <c r="B123" s="8">
        <f>IF(A123="","",IFERROR(INDEX(Evidence_Log!$B:$B,MATCH(A123,Evidence_Log!$A:$A,0)),"check ID"))</f>
        <v/>
      </c>
      <c r="I123" s="16">
        <f>IF(OR(A123="",C123="External driver"),0,IF(COUNTIFS(D$5:D123,D123,B$5:B123,B123,C$5:C123,"&lt;&gt;External driver")=1,1,0))</f>
        <v/>
      </c>
    </row>
    <row r="124">
      <c r="B124" s="8">
        <f>IF(A124="","",IFERROR(INDEX(Evidence_Log!$B:$B,MATCH(A124,Evidence_Log!$A:$A,0)),"check ID"))</f>
        <v/>
      </c>
      <c r="I124" s="16">
        <f>IF(OR(A124="",C124="External driver"),0,IF(COUNTIFS(D$5:D124,D124,B$5:B124,B124,C$5:C124,"&lt;&gt;External driver")=1,1,0))</f>
        <v/>
      </c>
    </row>
    <row r="125">
      <c r="B125" s="8">
        <f>IF(A125="","",IFERROR(INDEX(Evidence_Log!$B:$B,MATCH(A125,Evidence_Log!$A:$A,0)),"check ID"))</f>
        <v/>
      </c>
      <c r="I125" s="16">
        <f>IF(OR(A125="",C125="External driver"),0,IF(COUNTIFS(D$5:D125,D125,B$5:B125,B125,C$5:C125,"&lt;&gt;External driver")=1,1,0))</f>
        <v/>
      </c>
    </row>
    <row r="126">
      <c r="B126" s="8">
        <f>IF(A126="","",IFERROR(INDEX(Evidence_Log!$B:$B,MATCH(A126,Evidence_Log!$A:$A,0)),"check ID"))</f>
        <v/>
      </c>
      <c r="I126" s="16">
        <f>IF(OR(A126="",C126="External driver"),0,IF(COUNTIFS(D$5:D126,D126,B$5:B126,B126,C$5:C126,"&lt;&gt;External driver")=1,1,0))</f>
        <v/>
      </c>
    </row>
    <row r="127">
      <c r="B127" s="8">
        <f>IF(A127="","",IFERROR(INDEX(Evidence_Log!$B:$B,MATCH(A127,Evidence_Log!$A:$A,0)),"check ID"))</f>
        <v/>
      </c>
      <c r="I127" s="16">
        <f>IF(OR(A127="",C127="External driver"),0,IF(COUNTIFS(D$5:D127,D127,B$5:B127,B127,C$5:C127,"&lt;&gt;External driver")=1,1,0))</f>
        <v/>
      </c>
    </row>
    <row r="128">
      <c r="B128" s="8">
        <f>IF(A128="","",IFERROR(INDEX(Evidence_Log!$B:$B,MATCH(A128,Evidence_Log!$A:$A,0)),"check ID"))</f>
        <v/>
      </c>
      <c r="I128" s="16">
        <f>IF(OR(A128="",C128="External driver"),0,IF(COUNTIFS(D$5:D128,D128,B$5:B128,B128,C$5:C128,"&lt;&gt;External driver")=1,1,0))</f>
        <v/>
      </c>
    </row>
    <row r="129">
      <c r="B129" s="8">
        <f>IF(A129="","",IFERROR(INDEX(Evidence_Log!$B:$B,MATCH(A129,Evidence_Log!$A:$A,0)),"check ID"))</f>
        <v/>
      </c>
      <c r="I129" s="16">
        <f>IF(OR(A129="",C129="External driver"),0,IF(COUNTIFS(D$5:D129,D129,B$5:B129,B129,C$5:C129,"&lt;&gt;External driver")=1,1,0))</f>
        <v/>
      </c>
    </row>
    <row r="130">
      <c r="B130" s="8">
        <f>IF(A130="","",IFERROR(INDEX(Evidence_Log!$B:$B,MATCH(A130,Evidence_Log!$A:$A,0)),"check ID"))</f>
        <v/>
      </c>
      <c r="I130" s="16">
        <f>IF(OR(A130="",C130="External driver"),0,IF(COUNTIFS(D$5:D130,D130,B$5:B130,B130,C$5:C130,"&lt;&gt;External driver")=1,1,0))</f>
        <v/>
      </c>
    </row>
    <row r="131">
      <c r="B131" s="8">
        <f>IF(A131="","",IFERROR(INDEX(Evidence_Log!$B:$B,MATCH(A131,Evidence_Log!$A:$A,0)),"check ID"))</f>
        <v/>
      </c>
      <c r="I131" s="16">
        <f>IF(OR(A131="",C131="External driver"),0,IF(COUNTIFS(D$5:D131,D131,B$5:B131,B131,C$5:C131,"&lt;&gt;External driver")=1,1,0))</f>
        <v/>
      </c>
    </row>
    <row r="132">
      <c r="B132" s="8">
        <f>IF(A132="","",IFERROR(INDEX(Evidence_Log!$B:$B,MATCH(A132,Evidence_Log!$A:$A,0)),"check ID"))</f>
        <v/>
      </c>
      <c r="I132" s="16">
        <f>IF(OR(A132="",C132="External driver"),0,IF(COUNTIFS(D$5:D132,D132,B$5:B132,B132,C$5:C132,"&lt;&gt;External driver")=1,1,0))</f>
        <v/>
      </c>
    </row>
    <row r="133">
      <c r="B133" s="8">
        <f>IF(A133="","",IFERROR(INDEX(Evidence_Log!$B:$B,MATCH(A133,Evidence_Log!$A:$A,0)),"check ID"))</f>
        <v/>
      </c>
      <c r="I133" s="16">
        <f>IF(OR(A133="",C133="External driver"),0,IF(COUNTIFS(D$5:D133,D133,B$5:B133,B133,C$5:C133,"&lt;&gt;External driver")=1,1,0))</f>
        <v/>
      </c>
    </row>
    <row r="134">
      <c r="B134" s="8">
        <f>IF(A134="","",IFERROR(INDEX(Evidence_Log!$B:$B,MATCH(A134,Evidence_Log!$A:$A,0)),"check ID"))</f>
        <v/>
      </c>
      <c r="I134" s="16">
        <f>IF(OR(A134="",C134="External driver"),0,IF(COUNTIFS(D$5:D134,D134,B$5:B134,B134,C$5:C134,"&lt;&gt;External driver")=1,1,0))</f>
        <v/>
      </c>
    </row>
    <row r="135">
      <c r="B135" s="8">
        <f>IF(A135="","",IFERROR(INDEX(Evidence_Log!$B:$B,MATCH(A135,Evidence_Log!$A:$A,0)),"check ID"))</f>
        <v/>
      </c>
      <c r="I135" s="16">
        <f>IF(OR(A135="",C135="External driver"),0,IF(COUNTIFS(D$5:D135,D135,B$5:B135,B135,C$5:C135,"&lt;&gt;External driver")=1,1,0))</f>
        <v/>
      </c>
    </row>
    <row r="136">
      <c r="B136" s="8">
        <f>IF(A136="","",IFERROR(INDEX(Evidence_Log!$B:$B,MATCH(A136,Evidence_Log!$A:$A,0)),"check ID"))</f>
        <v/>
      </c>
      <c r="I136" s="16">
        <f>IF(OR(A136="",C136="External driver"),0,IF(COUNTIFS(D$5:D136,D136,B$5:B136,B136,C$5:C136,"&lt;&gt;External driver")=1,1,0))</f>
        <v/>
      </c>
    </row>
    <row r="137">
      <c r="B137" s="8">
        <f>IF(A137="","",IFERROR(INDEX(Evidence_Log!$B:$B,MATCH(A137,Evidence_Log!$A:$A,0)),"check ID"))</f>
        <v/>
      </c>
      <c r="I137" s="16">
        <f>IF(OR(A137="",C137="External driver"),0,IF(COUNTIFS(D$5:D137,D137,B$5:B137,B137,C$5:C137,"&lt;&gt;External driver")=1,1,0))</f>
        <v/>
      </c>
    </row>
    <row r="138">
      <c r="B138" s="8">
        <f>IF(A138="","",IFERROR(INDEX(Evidence_Log!$B:$B,MATCH(A138,Evidence_Log!$A:$A,0)),"check ID"))</f>
        <v/>
      </c>
      <c r="I138" s="16">
        <f>IF(OR(A138="",C138="External driver"),0,IF(COUNTIFS(D$5:D138,D138,B$5:B138,B138,C$5:C138,"&lt;&gt;External driver")=1,1,0))</f>
        <v/>
      </c>
    </row>
    <row r="139">
      <c r="B139" s="8">
        <f>IF(A139="","",IFERROR(INDEX(Evidence_Log!$B:$B,MATCH(A139,Evidence_Log!$A:$A,0)),"check ID"))</f>
        <v/>
      </c>
      <c r="I139" s="16">
        <f>IF(OR(A139="",C139="External driver"),0,IF(COUNTIFS(D$5:D139,D139,B$5:B139,B139,C$5:C139,"&lt;&gt;External driver")=1,1,0))</f>
        <v/>
      </c>
    </row>
    <row r="140">
      <c r="B140" s="8">
        <f>IF(A140="","",IFERROR(INDEX(Evidence_Log!$B:$B,MATCH(A140,Evidence_Log!$A:$A,0)),"check ID"))</f>
        <v/>
      </c>
      <c r="I140" s="16">
        <f>IF(OR(A140="",C140="External driver"),0,IF(COUNTIFS(D$5:D140,D140,B$5:B140,B140,C$5:C140,"&lt;&gt;External driver")=1,1,0))</f>
        <v/>
      </c>
    </row>
    <row r="141">
      <c r="B141" s="8">
        <f>IF(A141="","",IFERROR(INDEX(Evidence_Log!$B:$B,MATCH(A141,Evidence_Log!$A:$A,0)),"check ID"))</f>
        <v/>
      </c>
      <c r="I141" s="16">
        <f>IF(OR(A141="",C141="External driver"),0,IF(COUNTIFS(D$5:D141,D141,B$5:B141,B141,C$5:C141,"&lt;&gt;External driver")=1,1,0))</f>
        <v/>
      </c>
    </row>
    <row r="142">
      <c r="B142" s="8">
        <f>IF(A142="","",IFERROR(INDEX(Evidence_Log!$B:$B,MATCH(A142,Evidence_Log!$A:$A,0)),"check ID"))</f>
        <v/>
      </c>
      <c r="I142" s="16">
        <f>IF(OR(A142="",C142="External driver"),0,IF(COUNTIFS(D$5:D142,D142,B$5:B142,B142,C$5:C142,"&lt;&gt;External driver")=1,1,0))</f>
        <v/>
      </c>
    </row>
    <row r="143">
      <c r="B143" s="8">
        <f>IF(A143="","",IFERROR(INDEX(Evidence_Log!$B:$B,MATCH(A143,Evidence_Log!$A:$A,0)),"check ID"))</f>
        <v/>
      </c>
      <c r="I143" s="16">
        <f>IF(OR(A143="",C143="External driver"),0,IF(COUNTIFS(D$5:D143,D143,B$5:B143,B143,C$5:C143,"&lt;&gt;External driver")=1,1,0))</f>
        <v/>
      </c>
    </row>
    <row r="144">
      <c r="B144" s="8">
        <f>IF(A144="","",IFERROR(INDEX(Evidence_Log!$B:$B,MATCH(A144,Evidence_Log!$A:$A,0)),"check ID"))</f>
        <v/>
      </c>
      <c r="I144" s="16">
        <f>IF(OR(A144="",C144="External driver"),0,IF(COUNTIFS(D$5:D144,D144,B$5:B144,B144,C$5:C144,"&lt;&gt;External driver")=1,1,0))</f>
        <v/>
      </c>
    </row>
    <row r="145">
      <c r="B145" s="8">
        <f>IF(A145="","",IFERROR(INDEX(Evidence_Log!$B:$B,MATCH(A145,Evidence_Log!$A:$A,0)),"check ID"))</f>
        <v/>
      </c>
      <c r="I145" s="16">
        <f>IF(OR(A145="",C145="External driver"),0,IF(COUNTIFS(D$5:D145,D145,B$5:B145,B145,C$5:C145,"&lt;&gt;External driver")=1,1,0))</f>
        <v/>
      </c>
    </row>
    <row r="146">
      <c r="B146" s="8">
        <f>IF(A146="","",IFERROR(INDEX(Evidence_Log!$B:$B,MATCH(A146,Evidence_Log!$A:$A,0)),"check ID"))</f>
        <v/>
      </c>
      <c r="I146" s="16">
        <f>IF(OR(A146="",C146="External driver"),0,IF(COUNTIFS(D$5:D146,D146,B$5:B146,B146,C$5:C146,"&lt;&gt;External driver")=1,1,0))</f>
        <v/>
      </c>
    </row>
    <row r="147">
      <c r="B147" s="8">
        <f>IF(A147="","",IFERROR(INDEX(Evidence_Log!$B:$B,MATCH(A147,Evidence_Log!$A:$A,0)),"check ID"))</f>
        <v/>
      </c>
      <c r="I147" s="16">
        <f>IF(OR(A147="",C147="External driver"),0,IF(COUNTIFS(D$5:D147,D147,B$5:B147,B147,C$5:C147,"&lt;&gt;External driver")=1,1,0))</f>
        <v/>
      </c>
    </row>
    <row r="148">
      <c r="B148" s="8">
        <f>IF(A148="","",IFERROR(INDEX(Evidence_Log!$B:$B,MATCH(A148,Evidence_Log!$A:$A,0)),"check ID"))</f>
        <v/>
      </c>
      <c r="I148" s="16">
        <f>IF(OR(A148="",C148="External driver"),0,IF(COUNTIFS(D$5:D148,D148,B$5:B148,B148,C$5:C148,"&lt;&gt;External driver")=1,1,0))</f>
        <v/>
      </c>
    </row>
    <row r="149">
      <c r="B149" s="8">
        <f>IF(A149="","",IFERROR(INDEX(Evidence_Log!$B:$B,MATCH(A149,Evidence_Log!$A:$A,0)),"check ID"))</f>
        <v/>
      </c>
      <c r="I149" s="16">
        <f>IF(OR(A149="",C149="External driver"),0,IF(COUNTIFS(D$5:D149,D149,B$5:B149,B149,C$5:C149,"&lt;&gt;External driver")=1,1,0))</f>
        <v/>
      </c>
    </row>
    <row r="150">
      <c r="B150" s="8">
        <f>IF(A150="","",IFERROR(INDEX(Evidence_Log!$B:$B,MATCH(A150,Evidence_Log!$A:$A,0)),"check ID"))</f>
        <v/>
      </c>
      <c r="I150" s="16">
        <f>IF(OR(A150="",C150="External driver"),0,IF(COUNTIFS(D$5:D150,D150,B$5:B150,B150,C$5:C150,"&lt;&gt;External driver")=1,1,0))</f>
        <v/>
      </c>
    </row>
    <row r="151">
      <c r="B151" s="8">
        <f>IF(A151="","",IFERROR(INDEX(Evidence_Log!$B:$B,MATCH(A151,Evidence_Log!$A:$A,0)),"check ID"))</f>
        <v/>
      </c>
      <c r="I151" s="16">
        <f>IF(OR(A151="",C151="External driver"),0,IF(COUNTIFS(D$5:D151,D151,B$5:B151,B151,C$5:C151,"&lt;&gt;External driver")=1,1,0))</f>
        <v/>
      </c>
    </row>
    <row r="152">
      <c r="B152" s="8">
        <f>IF(A152="","",IFERROR(INDEX(Evidence_Log!$B:$B,MATCH(A152,Evidence_Log!$A:$A,0)),"check ID"))</f>
        <v/>
      </c>
      <c r="I152" s="16">
        <f>IF(OR(A152="",C152="External driver"),0,IF(COUNTIFS(D$5:D152,D152,B$5:B152,B152,C$5:C152,"&lt;&gt;External driver")=1,1,0))</f>
        <v/>
      </c>
    </row>
    <row r="153">
      <c r="B153" s="8">
        <f>IF(A153="","",IFERROR(INDEX(Evidence_Log!$B:$B,MATCH(A153,Evidence_Log!$A:$A,0)),"check ID"))</f>
        <v/>
      </c>
      <c r="I153" s="16">
        <f>IF(OR(A153="",C153="External driver"),0,IF(COUNTIFS(D$5:D153,D153,B$5:B153,B153,C$5:C153,"&lt;&gt;External driver")=1,1,0))</f>
        <v/>
      </c>
    </row>
    <row r="154">
      <c r="B154" s="8">
        <f>IF(A154="","",IFERROR(INDEX(Evidence_Log!$B:$B,MATCH(A154,Evidence_Log!$A:$A,0)),"check ID"))</f>
        <v/>
      </c>
      <c r="I154" s="16">
        <f>IF(OR(A154="",C154="External driver"),0,IF(COUNTIFS(D$5:D154,D154,B$5:B154,B154,C$5:C154,"&lt;&gt;External driver")=1,1,0))</f>
        <v/>
      </c>
    </row>
    <row r="155">
      <c r="B155" s="8">
        <f>IF(A155="","",IFERROR(INDEX(Evidence_Log!$B:$B,MATCH(A155,Evidence_Log!$A:$A,0)),"check ID"))</f>
        <v/>
      </c>
      <c r="I155" s="16">
        <f>IF(OR(A155="",C155="External driver"),0,IF(COUNTIFS(D$5:D155,D155,B$5:B155,B155,C$5:C155,"&lt;&gt;External driver")=1,1,0))</f>
        <v/>
      </c>
    </row>
    <row r="156">
      <c r="B156" s="8">
        <f>IF(A156="","",IFERROR(INDEX(Evidence_Log!$B:$B,MATCH(A156,Evidence_Log!$A:$A,0)),"check ID"))</f>
        <v/>
      </c>
      <c r="I156" s="16">
        <f>IF(OR(A156="",C156="External driver"),0,IF(COUNTIFS(D$5:D156,D156,B$5:B156,B156,C$5:C156,"&lt;&gt;External driver")=1,1,0))</f>
        <v/>
      </c>
    </row>
    <row r="157">
      <c r="B157" s="8">
        <f>IF(A157="","",IFERROR(INDEX(Evidence_Log!$B:$B,MATCH(A157,Evidence_Log!$A:$A,0)),"check ID"))</f>
        <v/>
      </c>
      <c r="I157" s="16">
        <f>IF(OR(A157="",C157="External driver"),0,IF(COUNTIFS(D$5:D157,D157,B$5:B157,B157,C$5:C157,"&lt;&gt;External driver")=1,1,0))</f>
        <v/>
      </c>
    </row>
    <row r="158">
      <c r="B158" s="8">
        <f>IF(A158="","",IFERROR(INDEX(Evidence_Log!$B:$B,MATCH(A158,Evidence_Log!$A:$A,0)),"check ID"))</f>
        <v/>
      </c>
      <c r="I158" s="16">
        <f>IF(OR(A158="",C158="External driver"),0,IF(COUNTIFS(D$5:D158,D158,B$5:B158,B158,C$5:C158,"&lt;&gt;External driver")=1,1,0))</f>
        <v/>
      </c>
    </row>
    <row r="159">
      <c r="B159" s="8">
        <f>IF(A159="","",IFERROR(INDEX(Evidence_Log!$B:$B,MATCH(A159,Evidence_Log!$A:$A,0)),"check ID"))</f>
        <v/>
      </c>
      <c r="I159" s="16">
        <f>IF(OR(A159="",C159="External driver"),0,IF(COUNTIFS(D$5:D159,D159,B$5:B159,B159,C$5:C159,"&lt;&gt;External driver")=1,1,0))</f>
        <v/>
      </c>
    </row>
    <row r="160">
      <c r="B160" s="8">
        <f>IF(A160="","",IFERROR(INDEX(Evidence_Log!$B:$B,MATCH(A160,Evidence_Log!$A:$A,0)),"check ID"))</f>
        <v/>
      </c>
      <c r="I160" s="16">
        <f>IF(OR(A160="",C160="External driver"),0,IF(COUNTIFS(D$5:D160,D160,B$5:B160,B160,C$5:C160,"&lt;&gt;External driver")=1,1,0))</f>
        <v/>
      </c>
    </row>
    <row r="161">
      <c r="B161" s="8">
        <f>IF(A161="","",IFERROR(INDEX(Evidence_Log!$B:$B,MATCH(A161,Evidence_Log!$A:$A,0)),"check ID"))</f>
        <v/>
      </c>
      <c r="I161" s="16">
        <f>IF(OR(A161="",C161="External driver"),0,IF(COUNTIFS(D$5:D161,D161,B$5:B161,B161,C$5:C161,"&lt;&gt;External driver")=1,1,0))</f>
        <v/>
      </c>
    </row>
    <row r="162">
      <c r="B162" s="8">
        <f>IF(A162="","",IFERROR(INDEX(Evidence_Log!$B:$B,MATCH(A162,Evidence_Log!$A:$A,0)),"check ID"))</f>
        <v/>
      </c>
      <c r="I162" s="16">
        <f>IF(OR(A162="",C162="External driver"),0,IF(COUNTIFS(D$5:D162,D162,B$5:B162,B162,C$5:C162,"&lt;&gt;External driver")=1,1,0))</f>
        <v/>
      </c>
    </row>
    <row r="163">
      <c r="B163" s="8">
        <f>IF(A163="","",IFERROR(INDEX(Evidence_Log!$B:$B,MATCH(A163,Evidence_Log!$A:$A,0)),"check ID"))</f>
        <v/>
      </c>
      <c r="I163" s="16">
        <f>IF(OR(A163="",C163="External driver"),0,IF(COUNTIFS(D$5:D163,D163,B$5:B163,B163,C$5:C163,"&lt;&gt;External driver")=1,1,0))</f>
        <v/>
      </c>
    </row>
    <row r="164">
      <c r="B164" s="8">
        <f>IF(A164="","",IFERROR(INDEX(Evidence_Log!$B:$B,MATCH(A164,Evidence_Log!$A:$A,0)),"check ID"))</f>
        <v/>
      </c>
      <c r="I164" s="16">
        <f>IF(OR(A164="",C164="External driver"),0,IF(COUNTIFS(D$5:D164,D164,B$5:B164,B164,C$5:C164,"&lt;&gt;External driver")=1,1,0))</f>
        <v/>
      </c>
    </row>
    <row r="165">
      <c r="B165" s="8">
        <f>IF(A165="","",IFERROR(INDEX(Evidence_Log!$B:$B,MATCH(A165,Evidence_Log!$A:$A,0)),"check ID"))</f>
        <v/>
      </c>
      <c r="I165" s="16">
        <f>IF(OR(A165="",C165="External driver"),0,IF(COUNTIFS(D$5:D165,D165,B$5:B165,B165,C$5:C165,"&lt;&gt;External driver")=1,1,0))</f>
        <v/>
      </c>
    </row>
    <row r="166">
      <c r="B166" s="8">
        <f>IF(A166="","",IFERROR(INDEX(Evidence_Log!$B:$B,MATCH(A166,Evidence_Log!$A:$A,0)),"check ID"))</f>
        <v/>
      </c>
      <c r="I166" s="16">
        <f>IF(OR(A166="",C166="External driver"),0,IF(COUNTIFS(D$5:D166,D166,B$5:B166,B166,C$5:C166,"&lt;&gt;External driver")=1,1,0))</f>
        <v/>
      </c>
    </row>
    <row r="167">
      <c r="B167" s="8">
        <f>IF(A167="","",IFERROR(INDEX(Evidence_Log!$B:$B,MATCH(A167,Evidence_Log!$A:$A,0)),"check ID"))</f>
        <v/>
      </c>
      <c r="I167" s="16">
        <f>IF(OR(A167="",C167="External driver"),0,IF(COUNTIFS(D$5:D167,D167,B$5:B167,B167,C$5:C167,"&lt;&gt;External driver")=1,1,0))</f>
        <v/>
      </c>
    </row>
    <row r="168">
      <c r="B168" s="8">
        <f>IF(A168="","",IFERROR(INDEX(Evidence_Log!$B:$B,MATCH(A168,Evidence_Log!$A:$A,0)),"check ID"))</f>
        <v/>
      </c>
      <c r="I168" s="16">
        <f>IF(OR(A168="",C168="External driver"),0,IF(COUNTIFS(D$5:D168,D168,B$5:B168,B168,C$5:C168,"&lt;&gt;External driver")=1,1,0))</f>
        <v/>
      </c>
    </row>
    <row r="169">
      <c r="B169" s="8">
        <f>IF(A169="","",IFERROR(INDEX(Evidence_Log!$B:$B,MATCH(A169,Evidence_Log!$A:$A,0)),"check ID"))</f>
        <v/>
      </c>
      <c r="I169" s="16">
        <f>IF(OR(A169="",C169="External driver"),0,IF(COUNTIFS(D$5:D169,D169,B$5:B169,B169,C$5:C169,"&lt;&gt;External driver")=1,1,0))</f>
        <v/>
      </c>
    </row>
    <row r="170">
      <c r="B170" s="8">
        <f>IF(A170="","",IFERROR(INDEX(Evidence_Log!$B:$B,MATCH(A170,Evidence_Log!$A:$A,0)),"check ID"))</f>
        <v/>
      </c>
      <c r="I170" s="16">
        <f>IF(OR(A170="",C170="External driver"),0,IF(COUNTIFS(D$5:D170,D170,B$5:B170,B170,C$5:C170,"&lt;&gt;External driver")=1,1,0))</f>
        <v/>
      </c>
    </row>
    <row r="171">
      <c r="B171" s="8">
        <f>IF(A171="","",IFERROR(INDEX(Evidence_Log!$B:$B,MATCH(A171,Evidence_Log!$A:$A,0)),"check ID"))</f>
        <v/>
      </c>
      <c r="I171" s="16">
        <f>IF(OR(A171="",C171="External driver"),0,IF(COUNTIFS(D$5:D171,D171,B$5:B171,B171,C$5:C171,"&lt;&gt;External driver")=1,1,0))</f>
        <v/>
      </c>
    </row>
    <row r="172">
      <c r="B172" s="8">
        <f>IF(A172="","",IFERROR(INDEX(Evidence_Log!$B:$B,MATCH(A172,Evidence_Log!$A:$A,0)),"check ID"))</f>
        <v/>
      </c>
      <c r="I172" s="16">
        <f>IF(OR(A172="",C172="External driver"),0,IF(COUNTIFS(D$5:D172,D172,B$5:B172,B172,C$5:C172,"&lt;&gt;External driver")=1,1,0))</f>
        <v/>
      </c>
    </row>
    <row r="173">
      <c r="B173" s="8">
        <f>IF(A173="","",IFERROR(INDEX(Evidence_Log!$B:$B,MATCH(A173,Evidence_Log!$A:$A,0)),"check ID"))</f>
        <v/>
      </c>
      <c r="I173" s="16">
        <f>IF(OR(A173="",C173="External driver"),0,IF(COUNTIFS(D$5:D173,D173,B$5:B173,B173,C$5:C173,"&lt;&gt;External driver")=1,1,0))</f>
        <v/>
      </c>
    </row>
    <row r="174">
      <c r="B174" s="8">
        <f>IF(A174="","",IFERROR(INDEX(Evidence_Log!$B:$B,MATCH(A174,Evidence_Log!$A:$A,0)),"check ID"))</f>
        <v/>
      </c>
      <c r="I174" s="16">
        <f>IF(OR(A174="",C174="External driver"),0,IF(COUNTIFS(D$5:D174,D174,B$5:B174,B174,C$5:C174,"&lt;&gt;External driver")=1,1,0))</f>
        <v/>
      </c>
    </row>
    <row r="175">
      <c r="B175" s="8">
        <f>IF(A175="","",IFERROR(INDEX(Evidence_Log!$B:$B,MATCH(A175,Evidence_Log!$A:$A,0)),"check ID"))</f>
        <v/>
      </c>
      <c r="I175" s="16">
        <f>IF(OR(A175="",C175="External driver"),0,IF(COUNTIFS(D$5:D175,D175,B$5:B175,B175,C$5:C175,"&lt;&gt;External driver")=1,1,0))</f>
        <v/>
      </c>
    </row>
    <row r="176">
      <c r="B176" s="8">
        <f>IF(A176="","",IFERROR(INDEX(Evidence_Log!$B:$B,MATCH(A176,Evidence_Log!$A:$A,0)),"check ID"))</f>
        <v/>
      </c>
      <c r="I176" s="16">
        <f>IF(OR(A176="",C176="External driver"),0,IF(COUNTIFS(D$5:D176,D176,B$5:B176,B176,C$5:C176,"&lt;&gt;External driver")=1,1,0))</f>
        <v/>
      </c>
    </row>
    <row r="177">
      <c r="B177" s="8">
        <f>IF(A177="","",IFERROR(INDEX(Evidence_Log!$B:$B,MATCH(A177,Evidence_Log!$A:$A,0)),"check ID"))</f>
        <v/>
      </c>
      <c r="I177" s="16">
        <f>IF(OR(A177="",C177="External driver"),0,IF(COUNTIFS(D$5:D177,D177,B$5:B177,B177,C$5:C177,"&lt;&gt;External driver")=1,1,0))</f>
        <v/>
      </c>
    </row>
    <row r="178">
      <c r="B178" s="8">
        <f>IF(A178="","",IFERROR(INDEX(Evidence_Log!$B:$B,MATCH(A178,Evidence_Log!$A:$A,0)),"check ID"))</f>
        <v/>
      </c>
      <c r="I178" s="16">
        <f>IF(OR(A178="",C178="External driver"),0,IF(COUNTIFS(D$5:D178,D178,B$5:B178,B178,C$5:C178,"&lt;&gt;External driver")=1,1,0))</f>
        <v/>
      </c>
    </row>
    <row r="179">
      <c r="B179" s="8">
        <f>IF(A179="","",IFERROR(INDEX(Evidence_Log!$B:$B,MATCH(A179,Evidence_Log!$A:$A,0)),"check ID"))</f>
        <v/>
      </c>
      <c r="I179" s="16">
        <f>IF(OR(A179="",C179="External driver"),0,IF(COUNTIFS(D$5:D179,D179,B$5:B179,B179,C$5:C179,"&lt;&gt;External driver")=1,1,0))</f>
        <v/>
      </c>
    </row>
    <row r="180">
      <c r="B180" s="8">
        <f>IF(A180="","",IFERROR(INDEX(Evidence_Log!$B:$B,MATCH(A180,Evidence_Log!$A:$A,0)),"check ID"))</f>
        <v/>
      </c>
      <c r="I180" s="16">
        <f>IF(OR(A180="",C180="External driver"),0,IF(COUNTIFS(D$5:D180,D180,B$5:B180,B180,C$5:C180,"&lt;&gt;External driver")=1,1,0))</f>
        <v/>
      </c>
    </row>
    <row r="181">
      <c r="B181" s="8">
        <f>IF(A181="","",IFERROR(INDEX(Evidence_Log!$B:$B,MATCH(A181,Evidence_Log!$A:$A,0)),"check ID"))</f>
        <v/>
      </c>
      <c r="I181" s="16">
        <f>IF(OR(A181="",C181="External driver"),0,IF(COUNTIFS(D$5:D181,D181,B$5:B181,B181,C$5:C181,"&lt;&gt;External driver")=1,1,0))</f>
        <v/>
      </c>
    </row>
    <row r="182">
      <c r="B182" s="8">
        <f>IF(A182="","",IFERROR(INDEX(Evidence_Log!$B:$B,MATCH(A182,Evidence_Log!$A:$A,0)),"check ID"))</f>
        <v/>
      </c>
      <c r="I182" s="16">
        <f>IF(OR(A182="",C182="External driver"),0,IF(COUNTIFS(D$5:D182,D182,B$5:B182,B182,C$5:C182,"&lt;&gt;External driver")=1,1,0))</f>
        <v/>
      </c>
    </row>
    <row r="183">
      <c r="B183" s="8">
        <f>IF(A183="","",IFERROR(INDEX(Evidence_Log!$B:$B,MATCH(A183,Evidence_Log!$A:$A,0)),"check ID"))</f>
        <v/>
      </c>
      <c r="I183" s="16">
        <f>IF(OR(A183="",C183="External driver"),0,IF(COUNTIFS(D$5:D183,D183,B$5:B183,B183,C$5:C183,"&lt;&gt;External driver")=1,1,0))</f>
        <v/>
      </c>
    </row>
    <row r="184">
      <c r="B184" s="8">
        <f>IF(A184="","",IFERROR(INDEX(Evidence_Log!$B:$B,MATCH(A184,Evidence_Log!$A:$A,0)),"check ID"))</f>
        <v/>
      </c>
      <c r="I184" s="16">
        <f>IF(OR(A184="",C184="External driver"),0,IF(COUNTIFS(D$5:D184,D184,B$5:B184,B184,C$5:C184,"&lt;&gt;External driver")=1,1,0))</f>
        <v/>
      </c>
    </row>
    <row r="185">
      <c r="B185" s="8">
        <f>IF(A185="","",IFERROR(INDEX(Evidence_Log!$B:$B,MATCH(A185,Evidence_Log!$A:$A,0)),"check ID"))</f>
        <v/>
      </c>
      <c r="I185" s="16">
        <f>IF(OR(A185="",C185="External driver"),0,IF(COUNTIFS(D$5:D185,D185,B$5:B185,B185,C$5:C185,"&lt;&gt;External driver")=1,1,0))</f>
        <v/>
      </c>
    </row>
    <row r="186">
      <c r="B186" s="8">
        <f>IF(A186="","",IFERROR(INDEX(Evidence_Log!$B:$B,MATCH(A186,Evidence_Log!$A:$A,0)),"check ID"))</f>
        <v/>
      </c>
      <c r="I186" s="16">
        <f>IF(OR(A186="",C186="External driver"),0,IF(COUNTIFS(D$5:D186,D186,B$5:B186,B186,C$5:C186,"&lt;&gt;External driver")=1,1,0))</f>
        <v/>
      </c>
    </row>
    <row r="187">
      <c r="B187" s="8">
        <f>IF(A187="","",IFERROR(INDEX(Evidence_Log!$B:$B,MATCH(A187,Evidence_Log!$A:$A,0)),"check ID"))</f>
        <v/>
      </c>
      <c r="I187" s="16">
        <f>IF(OR(A187="",C187="External driver"),0,IF(COUNTIFS(D$5:D187,D187,B$5:B187,B187,C$5:C187,"&lt;&gt;External driver")=1,1,0))</f>
        <v/>
      </c>
    </row>
    <row r="188">
      <c r="B188" s="8">
        <f>IF(A188="","",IFERROR(INDEX(Evidence_Log!$B:$B,MATCH(A188,Evidence_Log!$A:$A,0)),"check ID"))</f>
        <v/>
      </c>
      <c r="I188" s="16">
        <f>IF(OR(A188="",C188="External driver"),0,IF(COUNTIFS(D$5:D188,D188,B$5:B188,B188,C$5:C188,"&lt;&gt;External driver")=1,1,0))</f>
        <v/>
      </c>
    </row>
    <row r="189">
      <c r="B189" s="8">
        <f>IF(A189="","",IFERROR(INDEX(Evidence_Log!$B:$B,MATCH(A189,Evidence_Log!$A:$A,0)),"check ID"))</f>
        <v/>
      </c>
      <c r="I189" s="16">
        <f>IF(OR(A189="",C189="External driver"),0,IF(COUNTIFS(D$5:D189,D189,B$5:B189,B189,C$5:C189,"&lt;&gt;External driver")=1,1,0))</f>
        <v/>
      </c>
    </row>
    <row r="190">
      <c r="B190" s="8">
        <f>IF(A190="","",IFERROR(INDEX(Evidence_Log!$B:$B,MATCH(A190,Evidence_Log!$A:$A,0)),"check ID"))</f>
        <v/>
      </c>
      <c r="I190" s="16">
        <f>IF(OR(A190="",C190="External driver"),0,IF(COUNTIFS(D$5:D190,D190,B$5:B190,B190,C$5:C190,"&lt;&gt;External driver")=1,1,0))</f>
        <v/>
      </c>
    </row>
    <row r="191">
      <c r="B191" s="8">
        <f>IF(A191="","",IFERROR(INDEX(Evidence_Log!$B:$B,MATCH(A191,Evidence_Log!$A:$A,0)),"check ID"))</f>
        <v/>
      </c>
      <c r="I191" s="16">
        <f>IF(OR(A191="",C191="External driver"),0,IF(COUNTIFS(D$5:D191,D191,B$5:B191,B191,C$5:C191,"&lt;&gt;External driver")=1,1,0))</f>
        <v/>
      </c>
    </row>
    <row r="192">
      <c r="B192" s="8">
        <f>IF(A192="","",IFERROR(INDEX(Evidence_Log!$B:$B,MATCH(A192,Evidence_Log!$A:$A,0)),"check ID"))</f>
        <v/>
      </c>
      <c r="I192" s="16">
        <f>IF(OR(A192="",C192="External driver"),0,IF(COUNTIFS(D$5:D192,D192,B$5:B192,B192,C$5:C192,"&lt;&gt;External driver")=1,1,0))</f>
        <v/>
      </c>
    </row>
    <row r="193">
      <c r="B193" s="8">
        <f>IF(A193="","",IFERROR(INDEX(Evidence_Log!$B:$B,MATCH(A193,Evidence_Log!$A:$A,0)),"check ID"))</f>
        <v/>
      </c>
      <c r="I193" s="16">
        <f>IF(OR(A193="",C193="External driver"),0,IF(COUNTIFS(D$5:D193,D193,B$5:B193,B193,C$5:C193,"&lt;&gt;External driver")=1,1,0))</f>
        <v/>
      </c>
    </row>
    <row r="194">
      <c r="B194" s="8">
        <f>IF(A194="","",IFERROR(INDEX(Evidence_Log!$B:$B,MATCH(A194,Evidence_Log!$A:$A,0)),"check ID"))</f>
        <v/>
      </c>
      <c r="I194" s="16">
        <f>IF(OR(A194="",C194="External driver"),0,IF(COUNTIFS(D$5:D194,D194,B$5:B194,B194,C$5:C194,"&lt;&gt;External driver")=1,1,0))</f>
        <v/>
      </c>
    </row>
    <row r="195">
      <c r="B195" s="8">
        <f>IF(A195="","",IFERROR(INDEX(Evidence_Log!$B:$B,MATCH(A195,Evidence_Log!$A:$A,0)),"check ID"))</f>
        <v/>
      </c>
      <c r="I195" s="16">
        <f>IF(OR(A195="",C195="External driver"),0,IF(COUNTIFS(D$5:D195,D195,B$5:B195,B195,C$5:C195,"&lt;&gt;External driver")=1,1,0))</f>
        <v/>
      </c>
    </row>
    <row r="196">
      <c r="B196" s="8">
        <f>IF(A196="","",IFERROR(INDEX(Evidence_Log!$B:$B,MATCH(A196,Evidence_Log!$A:$A,0)),"check ID"))</f>
        <v/>
      </c>
      <c r="I196" s="16">
        <f>IF(OR(A196="",C196="External driver"),0,IF(COUNTIFS(D$5:D196,D196,B$5:B196,B196,C$5:C196,"&lt;&gt;External driver")=1,1,0))</f>
        <v/>
      </c>
    </row>
    <row r="197">
      <c r="B197" s="8">
        <f>IF(A197="","",IFERROR(INDEX(Evidence_Log!$B:$B,MATCH(A197,Evidence_Log!$A:$A,0)),"check ID"))</f>
        <v/>
      </c>
      <c r="I197" s="16">
        <f>IF(OR(A197="",C197="External driver"),0,IF(COUNTIFS(D$5:D197,D197,B$5:B197,B197,C$5:C197,"&lt;&gt;External driver")=1,1,0))</f>
        <v/>
      </c>
    </row>
    <row r="198">
      <c r="B198" s="8">
        <f>IF(A198="","",IFERROR(INDEX(Evidence_Log!$B:$B,MATCH(A198,Evidence_Log!$A:$A,0)),"check ID"))</f>
        <v/>
      </c>
      <c r="I198" s="16">
        <f>IF(OR(A198="",C198="External driver"),0,IF(COUNTIFS(D$5:D198,D198,B$5:B198,B198,C$5:C198,"&lt;&gt;External driver")=1,1,0))</f>
        <v/>
      </c>
    </row>
    <row r="199">
      <c r="B199" s="8">
        <f>IF(A199="","",IFERROR(INDEX(Evidence_Log!$B:$B,MATCH(A199,Evidence_Log!$A:$A,0)),"check ID"))</f>
        <v/>
      </c>
      <c r="I199" s="16">
        <f>IF(OR(A199="",C199="External driver"),0,IF(COUNTIFS(D$5:D199,D199,B$5:B199,B199,C$5:C199,"&lt;&gt;External driver")=1,1,0))</f>
        <v/>
      </c>
    </row>
    <row r="200">
      <c r="B200" s="8">
        <f>IF(A200="","",IFERROR(INDEX(Evidence_Log!$B:$B,MATCH(A200,Evidence_Log!$A:$A,0)),"check ID"))</f>
        <v/>
      </c>
      <c r="I200" s="16">
        <f>IF(OR(A200="",C200="External driver"),0,IF(COUNTIFS(D$5:D200,D200,B$5:B200,B200,C$5:C200,"&lt;&gt;External driver")=1,1,0))</f>
        <v/>
      </c>
    </row>
    <row r="201">
      <c r="B201" s="8">
        <f>IF(A201="","",IFERROR(INDEX(Evidence_Log!$B:$B,MATCH(A201,Evidence_Log!$A:$A,0)),"check ID"))</f>
        <v/>
      </c>
      <c r="I201" s="16">
        <f>IF(OR(A201="",C201="External driver"),0,IF(COUNTIFS(D$5:D201,D201,B$5:B201,B201,C$5:C201,"&lt;&gt;External driver")=1,1,0))</f>
        <v/>
      </c>
    </row>
    <row r="202">
      <c r="B202" s="8">
        <f>IF(A202="","",IFERROR(INDEX(Evidence_Log!$B:$B,MATCH(A202,Evidence_Log!$A:$A,0)),"check ID"))</f>
        <v/>
      </c>
      <c r="I202" s="16">
        <f>IF(OR(A202="",C202="External driver"),0,IF(COUNTIFS(D$5:D202,D202,B$5:B202,B202,C$5:C202,"&lt;&gt;External driver")=1,1,0))</f>
        <v/>
      </c>
    </row>
    <row r="203">
      <c r="B203" s="8">
        <f>IF(A203="","",IFERROR(INDEX(Evidence_Log!$B:$B,MATCH(A203,Evidence_Log!$A:$A,0)),"check ID"))</f>
        <v/>
      </c>
      <c r="I203" s="16">
        <f>IF(OR(A203="",C203="External driver"),0,IF(COUNTIFS(D$5:D203,D203,B$5:B203,B203,C$5:C203,"&lt;&gt;External driver")=1,1,0))</f>
        <v/>
      </c>
    </row>
    <row r="204">
      <c r="B204" s="8">
        <f>IF(A204="","",IFERROR(INDEX(Evidence_Log!$B:$B,MATCH(A204,Evidence_Log!$A:$A,0)),"check ID"))</f>
        <v/>
      </c>
      <c r="I204" s="16">
        <f>IF(OR(A204="",C204="External driver"),0,IF(COUNTIFS(D$5:D204,D204,B$5:B204,B204,C$5:C204,"&lt;&gt;External driver")=1,1,0))</f>
        <v/>
      </c>
    </row>
    <row r="205">
      <c r="B205" s="8">
        <f>IF(A205="","",IFERROR(INDEX(Evidence_Log!$B:$B,MATCH(A205,Evidence_Log!$A:$A,0)),"check ID"))</f>
        <v/>
      </c>
      <c r="I205" s="16">
        <f>IF(OR(A205="",C205="External driver"),0,IF(COUNTIFS(D$5:D205,D205,B$5:B205,B205,C$5:C205,"&lt;&gt;External driver")=1,1,0))</f>
        <v/>
      </c>
    </row>
    <row r="206">
      <c r="B206" s="8">
        <f>IF(A206="","",IFERROR(INDEX(Evidence_Log!$B:$B,MATCH(A206,Evidence_Log!$A:$A,0)),"check ID"))</f>
        <v/>
      </c>
      <c r="I206" s="16">
        <f>IF(OR(A206="",C206="External driver"),0,IF(COUNTIFS(D$5:D206,D206,B$5:B206,B206,C$5:C206,"&lt;&gt;External driver")=1,1,0))</f>
        <v/>
      </c>
    </row>
    <row r="207">
      <c r="B207" s="8">
        <f>IF(A207="","",IFERROR(INDEX(Evidence_Log!$B:$B,MATCH(A207,Evidence_Log!$A:$A,0)),"check ID"))</f>
        <v/>
      </c>
      <c r="I207" s="16">
        <f>IF(OR(A207="",C207="External driver"),0,IF(COUNTIFS(D$5:D207,D207,B$5:B207,B207,C$5:C207,"&lt;&gt;External driver")=1,1,0))</f>
        <v/>
      </c>
    </row>
    <row r="208">
      <c r="B208" s="8">
        <f>IF(A208="","",IFERROR(INDEX(Evidence_Log!$B:$B,MATCH(A208,Evidence_Log!$A:$A,0)),"check ID"))</f>
        <v/>
      </c>
      <c r="I208" s="16">
        <f>IF(OR(A208="",C208="External driver"),0,IF(COUNTIFS(D$5:D208,D208,B$5:B208,B208,C$5:C208,"&lt;&gt;External driver")=1,1,0))</f>
        <v/>
      </c>
    </row>
    <row r="209">
      <c r="B209" s="8">
        <f>IF(A209="","",IFERROR(INDEX(Evidence_Log!$B:$B,MATCH(A209,Evidence_Log!$A:$A,0)),"check ID"))</f>
        <v/>
      </c>
      <c r="I209" s="16">
        <f>IF(OR(A209="",C209="External driver"),0,IF(COUNTIFS(D$5:D209,D209,B$5:B209,B209,C$5:C209,"&lt;&gt;External driver")=1,1,0))</f>
        <v/>
      </c>
    </row>
    <row r="210">
      <c r="B210" s="8">
        <f>IF(A210="","",IFERROR(INDEX(Evidence_Log!$B:$B,MATCH(A210,Evidence_Log!$A:$A,0)),"check ID"))</f>
        <v/>
      </c>
      <c r="I210" s="16">
        <f>IF(OR(A210="",C210="External driver"),0,IF(COUNTIFS(D$5:D210,D210,B$5:B210,B210,C$5:C210,"&lt;&gt;External driver")=1,1,0))</f>
        <v/>
      </c>
    </row>
    <row r="211">
      <c r="B211" s="8">
        <f>IF(A211="","",IFERROR(INDEX(Evidence_Log!$B:$B,MATCH(A211,Evidence_Log!$A:$A,0)),"check ID"))</f>
        <v/>
      </c>
      <c r="I211" s="16">
        <f>IF(OR(A211="",C211="External driver"),0,IF(COUNTIFS(D$5:D211,D211,B$5:B211,B211,C$5:C211,"&lt;&gt;External driver")=1,1,0))</f>
        <v/>
      </c>
    </row>
    <row r="212">
      <c r="B212" s="8">
        <f>IF(A212="","",IFERROR(INDEX(Evidence_Log!$B:$B,MATCH(A212,Evidence_Log!$A:$A,0)),"check ID"))</f>
        <v/>
      </c>
      <c r="I212" s="16">
        <f>IF(OR(A212="",C212="External driver"),0,IF(COUNTIFS(D$5:D212,D212,B$5:B212,B212,C$5:C212,"&lt;&gt;External driver")=1,1,0))</f>
        <v/>
      </c>
    </row>
    <row r="213">
      <c r="B213" s="8">
        <f>IF(A213="","",IFERROR(INDEX(Evidence_Log!$B:$B,MATCH(A213,Evidence_Log!$A:$A,0)),"check ID"))</f>
        <v/>
      </c>
      <c r="I213" s="16">
        <f>IF(OR(A213="",C213="External driver"),0,IF(COUNTIFS(D$5:D213,D213,B$5:B213,B213,C$5:C213,"&lt;&gt;External driver")=1,1,0))</f>
        <v/>
      </c>
    </row>
    <row r="214">
      <c r="B214" s="8">
        <f>IF(A214="","",IFERROR(INDEX(Evidence_Log!$B:$B,MATCH(A214,Evidence_Log!$A:$A,0)),"check ID"))</f>
        <v/>
      </c>
      <c r="I214" s="16">
        <f>IF(OR(A214="",C214="External driver"),0,IF(COUNTIFS(D$5:D214,D214,B$5:B214,B214,C$5:C214,"&lt;&gt;External driver")=1,1,0))</f>
        <v/>
      </c>
    </row>
    <row r="215">
      <c r="B215" s="8">
        <f>IF(A215="","",IFERROR(INDEX(Evidence_Log!$B:$B,MATCH(A215,Evidence_Log!$A:$A,0)),"check ID"))</f>
        <v/>
      </c>
      <c r="I215" s="16">
        <f>IF(OR(A215="",C215="External driver"),0,IF(COUNTIFS(D$5:D215,D215,B$5:B215,B215,C$5:C215,"&lt;&gt;External driver")=1,1,0))</f>
        <v/>
      </c>
    </row>
    <row r="216">
      <c r="B216" s="8">
        <f>IF(A216="","",IFERROR(INDEX(Evidence_Log!$B:$B,MATCH(A216,Evidence_Log!$A:$A,0)),"check ID"))</f>
        <v/>
      </c>
      <c r="I216" s="16">
        <f>IF(OR(A216="",C216="External driver"),0,IF(COUNTIFS(D$5:D216,D216,B$5:B216,B216,C$5:C216,"&lt;&gt;External driver")=1,1,0))</f>
        <v/>
      </c>
    </row>
    <row r="217">
      <c r="B217" s="8">
        <f>IF(A217="","",IFERROR(INDEX(Evidence_Log!$B:$B,MATCH(A217,Evidence_Log!$A:$A,0)),"check ID"))</f>
        <v/>
      </c>
      <c r="I217" s="16">
        <f>IF(OR(A217="",C217="External driver"),0,IF(COUNTIFS(D$5:D217,D217,B$5:B217,B217,C$5:C217,"&lt;&gt;External driver")=1,1,0))</f>
        <v/>
      </c>
    </row>
    <row r="218">
      <c r="B218" s="8">
        <f>IF(A218="","",IFERROR(INDEX(Evidence_Log!$B:$B,MATCH(A218,Evidence_Log!$A:$A,0)),"check ID"))</f>
        <v/>
      </c>
      <c r="I218" s="16">
        <f>IF(OR(A218="",C218="External driver"),0,IF(COUNTIFS(D$5:D218,D218,B$5:B218,B218,C$5:C218,"&lt;&gt;External driver")=1,1,0))</f>
        <v/>
      </c>
    </row>
    <row r="219">
      <c r="B219" s="8">
        <f>IF(A219="","",IFERROR(INDEX(Evidence_Log!$B:$B,MATCH(A219,Evidence_Log!$A:$A,0)),"check ID"))</f>
        <v/>
      </c>
      <c r="I219" s="16">
        <f>IF(OR(A219="",C219="External driver"),0,IF(COUNTIFS(D$5:D219,D219,B$5:B219,B219,C$5:C219,"&lt;&gt;External driver")=1,1,0))</f>
        <v/>
      </c>
    </row>
    <row r="220">
      <c r="B220" s="8">
        <f>IF(A220="","",IFERROR(INDEX(Evidence_Log!$B:$B,MATCH(A220,Evidence_Log!$A:$A,0)),"check ID"))</f>
        <v/>
      </c>
      <c r="I220" s="16">
        <f>IF(OR(A220="",C220="External driver"),0,IF(COUNTIFS(D$5:D220,D220,B$5:B220,B220,C$5:C220,"&lt;&gt;External driver")=1,1,0))</f>
        <v/>
      </c>
    </row>
    <row r="221">
      <c r="B221" s="8">
        <f>IF(A221="","",IFERROR(INDEX(Evidence_Log!$B:$B,MATCH(A221,Evidence_Log!$A:$A,0)),"check ID"))</f>
        <v/>
      </c>
      <c r="I221" s="16">
        <f>IF(OR(A221="",C221="External driver"),0,IF(COUNTIFS(D$5:D221,D221,B$5:B221,B221,C$5:C221,"&lt;&gt;External driver")=1,1,0))</f>
        <v/>
      </c>
    </row>
    <row r="222">
      <c r="B222" s="8">
        <f>IF(A222="","",IFERROR(INDEX(Evidence_Log!$B:$B,MATCH(A222,Evidence_Log!$A:$A,0)),"check ID"))</f>
        <v/>
      </c>
      <c r="I222" s="16">
        <f>IF(OR(A222="",C222="External driver"),0,IF(COUNTIFS(D$5:D222,D222,B$5:B222,B222,C$5:C222,"&lt;&gt;External driver")=1,1,0))</f>
        <v/>
      </c>
    </row>
    <row r="223">
      <c r="B223" s="8">
        <f>IF(A223="","",IFERROR(INDEX(Evidence_Log!$B:$B,MATCH(A223,Evidence_Log!$A:$A,0)),"check ID"))</f>
        <v/>
      </c>
      <c r="I223" s="16">
        <f>IF(OR(A223="",C223="External driver"),0,IF(COUNTIFS(D$5:D223,D223,B$5:B223,B223,C$5:C223,"&lt;&gt;External driver")=1,1,0))</f>
        <v/>
      </c>
    </row>
    <row r="224">
      <c r="B224" s="8">
        <f>IF(A224="","",IFERROR(INDEX(Evidence_Log!$B:$B,MATCH(A224,Evidence_Log!$A:$A,0)),"check ID"))</f>
        <v/>
      </c>
      <c r="I224" s="16">
        <f>IF(OR(A224="",C224="External driver"),0,IF(COUNTIFS(D$5:D224,D224,B$5:B224,B224,C$5:C224,"&lt;&gt;External driver")=1,1,0))</f>
        <v/>
      </c>
    </row>
    <row r="225">
      <c r="B225" s="8">
        <f>IF(A225="","",IFERROR(INDEX(Evidence_Log!$B:$B,MATCH(A225,Evidence_Log!$A:$A,0)),"check ID"))</f>
        <v/>
      </c>
      <c r="I225" s="16">
        <f>IF(OR(A225="",C225="External driver"),0,IF(COUNTIFS(D$5:D225,D225,B$5:B225,B225,C$5:C225,"&lt;&gt;External driver")=1,1,0))</f>
        <v/>
      </c>
    </row>
    <row r="226">
      <c r="B226" s="8">
        <f>IF(A226="","",IFERROR(INDEX(Evidence_Log!$B:$B,MATCH(A226,Evidence_Log!$A:$A,0)),"check ID"))</f>
        <v/>
      </c>
      <c r="I226" s="16">
        <f>IF(OR(A226="",C226="External driver"),0,IF(COUNTIFS(D$5:D226,D226,B$5:B226,B226,C$5:C226,"&lt;&gt;External driver")=1,1,0))</f>
        <v/>
      </c>
    </row>
    <row r="227">
      <c r="B227" s="8">
        <f>IF(A227="","",IFERROR(INDEX(Evidence_Log!$B:$B,MATCH(A227,Evidence_Log!$A:$A,0)),"check ID"))</f>
        <v/>
      </c>
      <c r="I227" s="16">
        <f>IF(OR(A227="",C227="External driver"),0,IF(COUNTIFS(D$5:D227,D227,B$5:B227,B227,C$5:C227,"&lt;&gt;External driver")=1,1,0))</f>
        <v/>
      </c>
    </row>
    <row r="228">
      <c r="B228" s="8">
        <f>IF(A228="","",IFERROR(INDEX(Evidence_Log!$B:$B,MATCH(A228,Evidence_Log!$A:$A,0)),"check ID"))</f>
        <v/>
      </c>
      <c r="I228" s="16">
        <f>IF(OR(A228="",C228="External driver"),0,IF(COUNTIFS(D$5:D228,D228,B$5:B228,B228,C$5:C228,"&lt;&gt;External driver")=1,1,0))</f>
        <v/>
      </c>
    </row>
    <row r="229">
      <c r="B229" s="8">
        <f>IF(A229="","",IFERROR(INDEX(Evidence_Log!$B:$B,MATCH(A229,Evidence_Log!$A:$A,0)),"check ID"))</f>
        <v/>
      </c>
      <c r="I229" s="16">
        <f>IF(OR(A229="",C229="External driver"),0,IF(COUNTIFS(D$5:D229,D229,B$5:B229,B229,C$5:C229,"&lt;&gt;External driver")=1,1,0))</f>
        <v/>
      </c>
    </row>
    <row r="230">
      <c r="B230" s="8">
        <f>IF(A230="","",IFERROR(INDEX(Evidence_Log!$B:$B,MATCH(A230,Evidence_Log!$A:$A,0)),"check ID"))</f>
        <v/>
      </c>
      <c r="I230" s="16">
        <f>IF(OR(A230="",C230="External driver"),0,IF(COUNTIFS(D$5:D230,D230,B$5:B230,B230,C$5:C230,"&lt;&gt;External driver")=1,1,0))</f>
        <v/>
      </c>
    </row>
    <row r="231">
      <c r="B231" s="8">
        <f>IF(A231="","",IFERROR(INDEX(Evidence_Log!$B:$B,MATCH(A231,Evidence_Log!$A:$A,0)),"check ID"))</f>
        <v/>
      </c>
      <c r="I231" s="16">
        <f>IF(OR(A231="",C231="External driver"),0,IF(COUNTIFS(D$5:D231,D231,B$5:B231,B231,C$5:C231,"&lt;&gt;External driver")=1,1,0))</f>
        <v/>
      </c>
    </row>
    <row r="232">
      <c r="B232" s="8">
        <f>IF(A232="","",IFERROR(INDEX(Evidence_Log!$B:$B,MATCH(A232,Evidence_Log!$A:$A,0)),"check ID"))</f>
        <v/>
      </c>
      <c r="I232" s="16">
        <f>IF(OR(A232="",C232="External driver"),0,IF(COUNTIFS(D$5:D232,D232,B$5:B232,B232,C$5:C232,"&lt;&gt;External driver")=1,1,0))</f>
        <v/>
      </c>
    </row>
    <row r="233">
      <c r="B233" s="8">
        <f>IF(A233="","",IFERROR(INDEX(Evidence_Log!$B:$B,MATCH(A233,Evidence_Log!$A:$A,0)),"check ID"))</f>
        <v/>
      </c>
      <c r="I233" s="16">
        <f>IF(OR(A233="",C233="External driver"),0,IF(COUNTIFS(D$5:D233,D233,B$5:B233,B233,C$5:C233,"&lt;&gt;External driver")=1,1,0))</f>
        <v/>
      </c>
    </row>
    <row r="234">
      <c r="B234" s="8">
        <f>IF(A234="","",IFERROR(INDEX(Evidence_Log!$B:$B,MATCH(A234,Evidence_Log!$A:$A,0)),"check ID"))</f>
        <v/>
      </c>
      <c r="I234" s="16">
        <f>IF(OR(A234="",C234="External driver"),0,IF(COUNTIFS(D$5:D234,D234,B$5:B234,B234,C$5:C234,"&lt;&gt;External driver")=1,1,0))</f>
        <v/>
      </c>
    </row>
    <row r="235">
      <c r="B235" s="8">
        <f>IF(A235="","",IFERROR(INDEX(Evidence_Log!$B:$B,MATCH(A235,Evidence_Log!$A:$A,0)),"check ID"))</f>
        <v/>
      </c>
      <c r="I235" s="16">
        <f>IF(OR(A235="",C235="External driver"),0,IF(COUNTIFS(D$5:D235,D235,B$5:B235,B235,C$5:C235,"&lt;&gt;External driver")=1,1,0))</f>
        <v/>
      </c>
    </row>
    <row r="236">
      <c r="B236" s="8">
        <f>IF(A236="","",IFERROR(INDEX(Evidence_Log!$B:$B,MATCH(A236,Evidence_Log!$A:$A,0)),"check ID"))</f>
        <v/>
      </c>
      <c r="I236" s="16">
        <f>IF(OR(A236="",C236="External driver"),0,IF(COUNTIFS(D$5:D236,D236,B$5:B236,B236,C$5:C236,"&lt;&gt;External driver")=1,1,0))</f>
        <v/>
      </c>
    </row>
    <row r="237">
      <c r="B237" s="8">
        <f>IF(A237="","",IFERROR(INDEX(Evidence_Log!$B:$B,MATCH(A237,Evidence_Log!$A:$A,0)),"check ID"))</f>
        <v/>
      </c>
      <c r="I237" s="16">
        <f>IF(OR(A237="",C237="External driver"),0,IF(COUNTIFS(D$5:D237,D237,B$5:B237,B237,C$5:C237,"&lt;&gt;External driver")=1,1,0))</f>
        <v/>
      </c>
    </row>
    <row r="238">
      <c r="B238" s="8">
        <f>IF(A238="","",IFERROR(INDEX(Evidence_Log!$B:$B,MATCH(A238,Evidence_Log!$A:$A,0)),"check ID"))</f>
        <v/>
      </c>
      <c r="I238" s="16">
        <f>IF(OR(A238="",C238="External driver"),0,IF(COUNTIFS(D$5:D238,D238,B$5:B238,B238,C$5:C238,"&lt;&gt;External driver")=1,1,0))</f>
        <v/>
      </c>
    </row>
    <row r="239">
      <c r="B239" s="8">
        <f>IF(A239="","",IFERROR(INDEX(Evidence_Log!$B:$B,MATCH(A239,Evidence_Log!$A:$A,0)),"check ID"))</f>
        <v/>
      </c>
      <c r="I239" s="16">
        <f>IF(OR(A239="",C239="External driver"),0,IF(COUNTIFS(D$5:D239,D239,B$5:B239,B239,C$5:C239,"&lt;&gt;External driver")=1,1,0))</f>
        <v/>
      </c>
    </row>
    <row r="240">
      <c r="B240" s="8">
        <f>IF(A240="","",IFERROR(INDEX(Evidence_Log!$B:$B,MATCH(A240,Evidence_Log!$A:$A,0)),"check ID"))</f>
        <v/>
      </c>
      <c r="I240" s="16">
        <f>IF(OR(A240="",C240="External driver"),0,IF(COUNTIFS(D$5:D240,D240,B$5:B240,B240,C$5:C240,"&lt;&gt;External driver")=1,1,0))</f>
        <v/>
      </c>
    </row>
    <row r="241">
      <c r="B241" s="8">
        <f>IF(A241="","",IFERROR(INDEX(Evidence_Log!$B:$B,MATCH(A241,Evidence_Log!$A:$A,0)),"check ID"))</f>
        <v/>
      </c>
      <c r="I241" s="16">
        <f>IF(OR(A241="",C241="External driver"),0,IF(COUNTIFS(D$5:D241,D241,B$5:B241,B241,C$5:C241,"&lt;&gt;External driver")=1,1,0))</f>
        <v/>
      </c>
    </row>
    <row r="242">
      <c r="B242" s="8">
        <f>IF(A242="","",IFERROR(INDEX(Evidence_Log!$B:$B,MATCH(A242,Evidence_Log!$A:$A,0)),"check ID"))</f>
        <v/>
      </c>
      <c r="I242" s="16">
        <f>IF(OR(A242="",C242="External driver"),0,IF(COUNTIFS(D$5:D242,D242,B$5:B242,B242,C$5:C242,"&lt;&gt;External driver")=1,1,0))</f>
        <v/>
      </c>
    </row>
    <row r="243">
      <c r="B243" s="8">
        <f>IF(A243="","",IFERROR(INDEX(Evidence_Log!$B:$B,MATCH(A243,Evidence_Log!$A:$A,0)),"check ID"))</f>
        <v/>
      </c>
      <c r="I243" s="16">
        <f>IF(OR(A243="",C243="External driver"),0,IF(COUNTIFS(D$5:D243,D243,B$5:B243,B243,C$5:C243,"&lt;&gt;External driver")=1,1,0))</f>
        <v/>
      </c>
    </row>
    <row r="244">
      <c r="B244" s="8">
        <f>IF(A244="","",IFERROR(INDEX(Evidence_Log!$B:$B,MATCH(A244,Evidence_Log!$A:$A,0)),"check ID"))</f>
        <v/>
      </c>
      <c r="I244" s="16">
        <f>IF(OR(A244="",C244="External driver"),0,IF(COUNTIFS(D$5:D244,D244,B$5:B244,B244,C$5:C244,"&lt;&gt;External driver")=1,1,0))</f>
        <v/>
      </c>
    </row>
    <row r="245">
      <c r="B245" s="8">
        <f>IF(A245="","",IFERROR(INDEX(Evidence_Log!$B:$B,MATCH(A245,Evidence_Log!$A:$A,0)),"check ID"))</f>
        <v/>
      </c>
      <c r="I245" s="16">
        <f>IF(OR(A245="",C245="External driver"),0,IF(COUNTIFS(D$5:D245,D245,B$5:B245,B245,C$5:C245,"&lt;&gt;External driver")=1,1,0))</f>
        <v/>
      </c>
    </row>
    <row r="246">
      <c r="B246" s="8">
        <f>IF(A246="","",IFERROR(INDEX(Evidence_Log!$B:$B,MATCH(A246,Evidence_Log!$A:$A,0)),"check ID"))</f>
        <v/>
      </c>
      <c r="I246" s="16">
        <f>IF(OR(A246="",C246="External driver"),0,IF(COUNTIFS(D$5:D246,D246,B$5:B246,B246,C$5:C246,"&lt;&gt;External driver")=1,1,0))</f>
        <v/>
      </c>
    </row>
    <row r="247">
      <c r="B247" s="8">
        <f>IF(A247="","",IFERROR(INDEX(Evidence_Log!$B:$B,MATCH(A247,Evidence_Log!$A:$A,0)),"check ID"))</f>
        <v/>
      </c>
      <c r="I247" s="16">
        <f>IF(OR(A247="",C247="External driver"),0,IF(COUNTIFS(D$5:D247,D247,B$5:B247,B247,C$5:C247,"&lt;&gt;External driver")=1,1,0))</f>
        <v/>
      </c>
    </row>
    <row r="248">
      <c r="B248" s="8">
        <f>IF(A248="","",IFERROR(INDEX(Evidence_Log!$B:$B,MATCH(A248,Evidence_Log!$A:$A,0)),"check ID"))</f>
        <v/>
      </c>
      <c r="I248" s="16">
        <f>IF(OR(A248="",C248="External driver"),0,IF(COUNTIFS(D$5:D248,D248,B$5:B248,B248,C$5:C248,"&lt;&gt;External driver")=1,1,0))</f>
        <v/>
      </c>
    </row>
    <row r="249">
      <c r="B249" s="8">
        <f>IF(A249="","",IFERROR(INDEX(Evidence_Log!$B:$B,MATCH(A249,Evidence_Log!$A:$A,0)),"check ID"))</f>
        <v/>
      </c>
      <c r="I249" s="16">
        <f>IF(OR(A249="",C249="External driver"),0,IF(COUNTIFS(D$5:D249,D249,B$5:B249,B249,C$5:C249,"&lt;&gt;External driver")=1,1,0))</f>
        <v/>
      </c>
    </row>
    <row r="250">
      <c r="B250" s="8">
        <f>IF(A250="","",IFERROR(INDEX(Evidence_Log!$B:$B,MATCH(A250,Evidence_Log!$A:$A,0)),"check ID"))</f>
        <v/>
      </c>
      <c r="I250" s="16">
        <f>IF(OR(A250="",C250="External driver"),0,IF(COUNTIFS(D$5:D250,D250,B$5:B250,B250,C$5:C250,"&lt;&gt;External driver")=1,1,0))</f>
        <v/>
      </c>
    </row>
    <row r="251">
      <c r="B251" s="8">
        <f>IF(A251="","",IFERROR(INDEX(Evidence_Log!$B:$B,MATCH(A251,Evidence_Log!$A:$A,0)),"check ID"))</f>
        <v/>
      </c>
      <c r="I251" s="16">
        <f>IF(OR(A251="",C251="External driver"),0,IF(COUNTIFS(D$5:D251,D251,B$5:B251,B251,C$5:C251,"&lt;&gt;External driver")=1,1,0))</f>
        <v/>
      </c>
    </row>
    <row r="252">
      <c r="B252" s="8">
        <f>IF(A252="","",IFERROR(INDEX(Evidence_Log!$B:$B,MATCH(A252,Evidence_Log!$A:$A,0)),"check ID"))</f>
        <v/>
      </c>
      <c r="I252" s="16">
        <f>IF(OR(A252="",C252="External driver"),0,IF(COUNTIFS(D$5:D252,D252,B$5:B252,B252,C$5:C252,"&lt;&gt;External driver")=1,1,0))</f>
        <v/>
      </c>
    </row>
    <row r="253">
      <c r="B253" s="8">
        <f>IF(A253="","",IFERROR(INDEX(Evidence_Log!$B:$B,MATCH(A253,Evidence_Log!$A:$A,0)),"check ID"))</f>
        <v/>
      </c>
      <c r="I253" s="16">
        <f>IF(OR(A253="",C253="External driver"),0,IF(COUNTIFS(D$5:D253,D253,B$5:B253,B253,C$5:C253,"&lt;&gt;External driver")=1,1,0))</f>
        <v/>
      </c>
    </row>
    <row r="254">
      <c r="B254" s="8">
        <f>IF(A254="","",IFERROR(INDEX(Evidence_Log!$B:$B,MATCH(A254,Evidence_Log!$A:$A,0)),"check ID"))</f>
        <v/>
      </c>
      <c r="I254" s="16">
        <f>IF(OR(A254="",C254="External driver"),0,IF(COUNTIFS(D$5:D254,D254,B$5:B254,B254,C$5:C254,"&lt;&gt;External driver")=1,1,0))</f>
        <v/>
      </c>
    </row>
    <row r="255">
      <c r="B255" s="8">
        <f>IF(A255="","",IFERROR(INDEX(Evidence_Log!$B:$B,MATCH(A255,Evidence_Log!$A:$A,0)),"check ID"))</f>
        <v/>
      </c>
      <c r="I255" s="16">
        <f>IF(OR(A255="",C255="External driver"),0,IF(COUNTIFS(D$5:D255,D255,B$5:B255,B255,C$5:C255,"&lt;&gt;External driver")=1,1,0))</f>
        <v/>
      </c>
    </row>
    <row r="256">
      <c r="B256" s="8">
        <f>IF(A256="","",IFERROR(INDEX(Evidence_Log!$B:$B,MATCH(A256,Evidence_Log!$A:$A,0)),"check ID"))</f>
        <v/>
      </c>
      <c r="I256" s="16">
        <f>IF(OR(A256="",C256="External driver"),0,IF(COUNTIFS(D$5:D256,D256,B$5:B256,B256,C$5:C256,"&lt;&gt;External driver")=1,1,0))</f>
        <v/>
      </c>
    </row>
    <row r="257">
      <c r="B257" s="8">
        <f>IF(A257="","",IFERROR(INDEX(Evidence_Log!$B:$B,MATCH(A257,Evidence_Log!$A:$A,0)),"check ID"))</f>
        <v/>
      </c>
      <c r="I257" s="16">
        <f>IF(OR(A257="",C257="External driver"),0,IF(COUNTIFS(D$5:D257,D257,B$5:B257,B257,C$5:C257,"&lt;&gt;External driver")=1,1,0))</f>
        <v/>
      </c>
    </row>
    <row r="258">
      <c r="B258" s="8">
        <f>IF(A258="","",IFERROR(INDEX(Evidence_Log!$B:$B,MATCH(A258,Evidence_Log!$A:$A,0)),"check ID"))</f>
        <v/>
      </c>
      <c r="I258" s="16">
        <f>IF(OR(A258="",C258="External driver"),0,IF(COUNTIFS(D$5:D258,D258,B$5:B258,B258,C$5:C258,"&lt;&gt;External driver")=1,1,0))</f>
        <v/>
      </c>
    </row>
    <row r="259">
      <c r="B259" s="8">
        <f>IF(A259="","",IFERROR(INDEX(Evidence_Log!$B:$B,MATCH(A259,Evidence_Log!$A:$A,0)),"check ID"))</f>
        <v/>
      </c>
      <c r="I259" s="16">
        <f>IF(OR(A259="",C259="External driver"),0,IF(COUNTIFS(D$5:D259,D259,B$5:B259,B259,C$5:C259,"&lt;&gt;External driver")=1,1,0))</f>
        <v/>
      </c>
    </row>
    <row r="260">
      <c r="B260" s="8">
        <f>IF(A260="","",IFERROR(INDEX(Evidence_Log!$B:$B,MATCH(A260,Evidence_Log!$A:$A,0)),"check ID"))</f>
        <v/>
      </c>
      <c r="I260" s="16">
        <f>IF(OR(A260="",C260="External driver"),0,IF(COUNTIFS(D$5:D260,D260,B$5:B260,B260,C$5:C260,"&lt;&gt;External driver")=1,1,0))</f>
        <v/>
      </c>
    </row>
    <row r="261">
      <c r="B261" s="8">
        <f>IF(A261="","",IFERROR(INDEX(Evidence_Log!$B:$B,MATCH(A261,Evidence_Log!$A:$A,0)),"check ID"))</f>
        <v/>
      </c>
      <c r="I261" s="16">
        <f>IF(OR(A261="",C261="External driver"),0,IF(COUNTIFS(D$5:D261,D261,B$5:B261,B261,C$5:C261,"&lt;&gt;External driver")=1,1,0))</f>
        <v/>
      </c>
    </row>
    <row r="262">
      <c r="B262" s="8">
        <f>IF(A262="","",IFERROR(INDEX(Evidence_Log!$B:$B,MATCH(A262,Evidence_Log!$A:$A,0)),"check ID"))</f>
        <v/>
      </c>
      <c r="I262" s="16">
        <f>IF(OR(A262="",C262="External driver"),0,IF(COUNTIFS(D$5:D262,D262,B$5:B262,B262,C$5:C262,"&lt;&gt;External driver")=1,1,0))</f>
        <v/>
      </c>
    </row>
    <row r="263">
      <c r="B263" s="8">
        <f>IF(A263="","",IFERROR(INDEX(Evidence_Log!$B:$B,MATCH(A263,Evidence_Log!$A:$A,0)),"check ID"))</f>
        <v/>
      </c>
      <c r="I263" s="16">
        <f>IF(OR(A263="",C263="External driver"),0,IF(COUNTIFS(D$5:D263,D263,B$5:B263,B263,C$5:C263,"&lt;&gt;External driver")=1,1,0))</f>
        <v/>
      </c>
    </row>
    <row r="264">
      <c r="B264" s="8">
        <f>IF(A264="","",IFERROR(INDEX(Evidence_Log!$B:$B,MATCH(A264,Evidence_Log!$A:$A,0)),"check ID"))</f>
        <v/>
      </c>
      <c r="I264" s="16">
        <f>IF(OR(A264="",C264="External driver"),0,IF(COUNTIFS(D$5:D264,D264,B$5:B264,B264,C$5:C264,"&lt;&gt;External driver")=1,1,0))</f>
        <v/>
      </c>
    </row>
    <row r="265">
      <c r="B265" s="8">
        <f>IF(A265="","",IFERROR(INDEX(Evidence_Log!$B:$B,MATCH(A265,Evidence_Log!$A:$A,0)),"check ID"))</f>
        <v/>
      </c>
      <c r="I265" s="16">
        <f>IF(OR(A265="",C265="External driver"),0,IF(COUNTIFS(D$5:D265,D265,B$5:B265,B265,C$5:C265,"&lt;&gt;External driver")=1,1,0))</f>
        <v/>
      </c>
    </row>
    <row r="266">
      <c r="B266" s="8">
        <f>IF(A266="","",IFERROR(INDEX(Evidence_Log!$B:$B,MATCH(A266,Evidence_Log!$A:$A,0)),"check ID"))</f>
        <v/>
      </c>
      <c r="I266" s="16">
        <f>IF(OR(A266="",C266="External driver"),0,IF(COUNTIFS(D$5:D266,D266,B$5:B266,B266,C$5:C266,"&lt;&gt;External driver")=1,1,0))</f>
        <v/>
      </c>
    </row>
    <row r="267">
      <c r="B267" s="8">
        <f>IF(A267="","",IFERROR(INDEX(Evidence_Log!$B:$B,MATCH(A267,Evidence_Log!$A:$A,0)),"check ID"))</f>
        <v/>
      </c>
      <c r="I267" s="16">
        <f>IF(OR(A267="",C267="External driver"),0,IF(COUNTIFS(D$5:D267,D267,B$5:B267,B267,C$5:C267,"&lt;&gt;External driver")=1,1,0))</f>
        <v/>
      </c>
    </row>
    <row r="268">
      <c r="B268" s="8">
        <f>IF(A268="","",IFERROR(INDEX(Evidence_Log!$B:$B,MATCH(A268,Evidence_Log!$A:$A,0)),"check ID"))</f>
        <v/>
      </c>
      <c r="I268" s="16">
        <f>IF(OR(A268="",C268="External driver"),0,IF(COUNTIFS(D$5:D268,D268,B$5:B268,B268,C$5:C268,"&lt;&gt;External driver")=1,1,0))</f>
        <v/>
      </c>
    </row>
    <row r="269">
      <c r="B269" s="8">
        <f>IF(A269="","",IFERROR(INDEX(Evidence_Log!$B:$B,MATCH(A269,Evidence_Log!$A:$A,0)),"check ID"))</f>
        <v/>
      </c>
      <c r="I269" s="16">
        <f>IF(OR(A269="",C269="External driver"),0,IF(COUNTIFS(D$5:D269,D269,B$5:B269,B269,C$5:C269,"&lt;&gt;External driver")=1,1,0))</f>
        <v/>
      </c>
    </row>
    <row r="270">
      <c r="B270" s="8">
        <f>IF(A270="","",IFERROR(INDEX(Evidence_Log!$B:$B,MATCH(A270,Evidence_Log!$A:$A,0)),"check ID"))</f>
        <v/>
      </c>
      <c r="I270" s="16">
        <f>IF(OR(A270="",C270="External driver"),0,IF(COUNTIFS(D$5:D270,D270,B$5:B270,B270,C$5:C270,"&lt;&gt;External driver")=1,1,0))</f>
        <v/>
      </c>
    </row>
    <row r="271">
      <c r="B271" s="8">
        <f>IF(A271="","",IFERROR(INDEX(Evidence_Log!$B:$B,MATCH(A271,Evidence_Log!$A:$A,0)),"check ID"))</f>
        <v/>
      </c>
      <c r="I271" s="16">
        <f>IF(OR(A271="",C271="External driver"),0,IF(COUNTIFS(D$5:D271,D271,B$5:B271,B271,C$5:C271,"&lt;&gt;External driver")=1,1,0))</f>
        <v/>
      </c>
    </row>
    <row r="272">
      <c r="B272" s="8">
        <f>IF(A272="","",IFERROR(INDEX(Evidence_Log!$B:$B,MATCH(A272,Evidence_Log!$A:$A,0)),"check ID"))</f>
        <v/>
      </c>
      <c r="I272" s="16">
        <f>IF(OR(A272="",C272="External driver"),0,IF(COUNTIFS(D$5:D272,D272,B$5:B272,B272,C$5:C272,"&lt;&gt;External driver")=1,1,0))</f>
        <v/>
      </c>
    </row>
    <row r="273">
      <c r="B273" s="8">
        <f>IF(A273="","",IFERROR(INDEX(Evidence_Log!$B:$B,MATCH(A273,Evidence_Log!$A:$A,0)),"check ID"))</f>
        <v/>
      </c>
      <c r="I273" s="16">
        <f>IF(OR(A273="",C273="External driver"),0,IF(COUNTIFS(D$5:D273,D273,B$5:B273,B273,C$5:C273,"&lt;&gt;External driver")=1,1,0))</f>
        <v/>
      </c>
    </row>
    <row r="274">
      <c r="B274" s="8">
        <f>IF(A274="","",IFERROR(INDEX(Evidence_Log!$B:$B,MATCH(A274,Evidence_Log!$A:$A,0)),"check ID"))</f>
        <v/>
      </c>
      <c r="I274" s="16">
        <f>IF(OR(A274="",C274="External driver"),0,IF(COUNTIFS(D$5:D274,D274,B$5:B274,B274,C$5:C274,"&lt;&gt;External driver")=1,1,0))</f>
        <v/>
      </c>
    </row>
    <row r="275">
      <c r="B275" s="8">
        <f>IF(A275="","",IFERROR(INDEX(Evidence_Log!$B:$B,MATCH(A275,Evidence_Log!$A:$A,0)),"check ID"))</f>
        <v/>
      </c>
      <c r="I275" s="16">
        <f>IF(OR(A275="",C275="External driver"),0,IF(COUNTIFS(D$5:D275,D275,B$5:B275,B275,C$5:C275,"&lt;&gt;External driver")=1,1,0))</f>
        <v/>
      </c>
    </row>
    <row r="276">
      <c r="B276" s="8">
        <f>IF(A276="","",IFERROR(INDEX(Evidence_Log!$B:$B,MATCH(A276,Evidence_Log!$A:$A,0)),"check ID"))</f>
        <v/>
      </c>
      <c r="I276" s="16">
        <f>IF(OR(A276="",C276="External driver"),0,IF(COUNTIFS(D$5:D276,D276,B$5:B276,B276,C$5:C276,"&lt;&gt;External driver")=1,1,0))</f>
        <v/>
      </c>
    </row>
    <row r="277">
      <c r="B277" s="8">
        <f>IF(A277="","",IFERROR(INDEX(Evidence_Log!$B:$B,MATCH(A277,Evidence_Log!$A:$A,0)),"check ID"))</f>
        <v/>
      </c>
      <c r="I277" s="16">
        <f>IF(OR(A277="",C277="External driver"),0,IF(COUNTIFS(D$5:D277,D277,B$5:B277,B277,C$5:C277,"&lt;&gt;External driver")=1,1,0))</f>
        <v/>
      </c>
    </row>
    <row r="278">
      <c r="B278" s="8">
        <f>IF(A278="","",IFERROR(INDEX(Evidence_Log!$B:$B,MATCH(A278,Evidence_Log!$A:$A,0)),"check ID"))</f>
        <v/>
      </c>
      <c r="I278" s="16">
        <f>IF(OR(A278="",C278="External driver"),0,IF(COUNTIFS(D$5:D278,D278,B$5:B278,B278,C$5:C278,"&lt;&gt;External driver")=1,1,0))</f>
        <v/>
      </c>
    </row>
    <row r="279">
      <c r="B279" s="8">
        <f>IF(A279="","",IFERROR(INDEX(Evidence_Log!$B:$B,MATCH(A279,Evidence_Log!$A:$A,0)),"check ID"))</f>
        <v/>
      </c>
      <c r="I279" s="16">
        <f>IF(OR(A279="",C279="External driver"),0,IF(COUNTIFS(D$5:D279,D279,B$5:B279,B279,C$5:C279,"&lt;&gt;External driver")=1,1,0))</f>
        <v/>
      </c>
    </row>
    <row r="280">
      <c r="B280" s="8">
        <f>IF(A280="","",IFERROR(INDEX(Evidence_Log!$B:$B,MATCH(A280,Evidence_Log!$A:$A,0)),"check ID"))</f>
        <v/>
      </c>
      <c r="I280" s="16">
        <f>IF(OR(A280="",C280="External driver"),0,IF(COUNTIFS(D$5:D280,D280,B$5:B280,B280,C$5:C280,"&lt;&gt;External driver")=1,1,0))</f>
        <v/>
      </c>
    </row>
    <row r="281">
      <c r="B281" s="8">
        <f>IF(A281="","",IFERROR(INDEX(Evidence_Log!$B:$B,MATCH(A281,Evidence_Log!$A:$A,0)),"check ID"))</f>
        <v/>
      </c>
      <c r="I281" s="16">
        <f>IF(OR(A281="",C281="External driver"),0,IF(COUNTIFS(D$5:D281,D281,B$5:B281,B281,C$5:C281,"&lt;&gt;External driver")=1,1,0))</f>
        <v/>
      </c>
    </row>
    <row r="282">
      <c r="B282" s="8">
        <f>IF(A282="","",IFERROR(INDEX(Evidence_Log!$B:$B,MATCH(A282,Evidence_Log!$A:$A,0)),"check ID"))</f>
        <v/>
      </c>
      <c r="I282" s="16">
        <f>IF(OR(A282="",C282="External driver"),0,IF(COUNTIFS(D$5:D282,D282,B$5:B282,B282,C$5:C282,"&lt;&gt;External driver")=1,1,0))</f>
        <v/>
      </c>
    </row>
    <row r="283">
      <c r="B283" s="8">
        <f>IF(A283="","",IFERROR(INDEX(Evidence_Log!$B:$B,MATCH(A283,Evidence_Log!$A:$A,0)),"check ID"))</f>
        <v/>
      </c>
      <c r="I283" s="16">
        <f>IF(OR(A283="",C283="External driver"),0,IF(COUNTIFS(D$5:D283,D283,B$5:B283,B283,C$5:C283,"&lt;&gt;External driver")=1,1,0))</f>
        <v/>
      </c>
    </row>
    <row r="284">
      <c r="B284" s="8">
        <f>IF(A284="","",IFERROR(INDEX(Evidence_Log!$B:$B,MATCH(A284,Evidence_Log!$A:$A,0)),"check ID"))</f>
        <v/>
      </c>
      <c r="I284" s="16">
        <f>IF(OR(A284="",C284="External driver"),0,IF(COUNTIFS(D$5:D284,D284,B$5:B284,B284,C$5:C284,"&lt;&gt;External driver")=1,1,0))</f>
        <v/>
      </c>
    </row>
    <row r="285">
      <c r="B285" s="8">
        <f>IF(A285="","",IFERROR(INDEX(Evidence_Log!$B:$B,MATCH(A285,Evidence_Log!$A:$A,0)),"check ID"))</f>
        <v/>
      </c>
      <c r="I285" s="16">
        <f>IF(OR(A285="",C285="External driver"),0,IF(COUNTIFS(D$5:D285,D285,B$5:B285,B285,C$5:C285,"&lt;&gt;External driver")=1,1,0))</f>
        <v/>
      </c>
    </row>
    <row r="286">
      <c r="B286" s="8">
        <f>IF(A286="","",IFERROR(INDEX(Evidence_Log!$B:$B,MATCH(A286,Evidence_Log!$A:$A,0)),"check ID"))</f>
        <v/>
      </c>
      <c r="I286" s="16">
        <f>IF(OR(A286="",C286="External driver"),0,IF(COUNTIFS(D$5:D286,D286,B$5:B286,B286,C$5:C286,"&lt;&gt;External driver")=1,1,0))</f>
        <v/>
      </c>
    </row>
    <row r="287">
      <c r="B287" s="8">
        <f>IF(A287="","",IFERROR(INDEX(Evidence_Log!$B:$B,MATCH(A287,Evidence_Log!$A:$A,0)),"check ID"))</f>
        <v/>
      </c>
      <c r="I287" s="16">
        <f>IF(OR(A287="",C287="External driver"),0,IF(COUNTIFS(D$5:D287,D287,B$5:B287,B287,C$5:C287,"&lt;&gt;External driver")=1,1,0))</f>
        <v/>
      </c>
    </row>
    <row r="288">
      <c r="B288" s="8">
        <f>IF(A288="","",IFERROR(INDEX(Evidence_Log!$B:$B,MATCH(A288,Evidence_Log!$A:$A,0)),"check ID"))</f>
        <v/>
      </c>
      <c r="I288" s="16">
        <f>IF(OR(A288="",C288="External driver"),0,IF(COUNTIFS(D$5:D288,D288,B$5:B288,B288,C$5:C288,"&lt;&gt;External driver")=1,1,0))</f>
        <v/>
      </c>
    </row>
    <row r="289">
      <c r="B289" s="8">
        <f>IF(A289="","",IFERROR(INDEX(Evidence_Log!$B:$B,MATCH(A289,Evidence_Log!$A:$A,0)),"check ID"))</f>
        <v/>
      </c>
      <c r="I289" s="16">
        <f>IF(OR(A289="",C289="External driver"),0,IF(COUNTIFS(D$5:D289,D289,B$5:B289,B289,C$5:C289,"&lt;&gt;External driver")=1,1,0))</f>
        <v/>
      </c>
    </row>
    <row r="290">
      <c r="B290" s="8">
        <f>IF(A290="","",IFERROR(INDEX(Evidence_Log!$B:$B,MATCH(A290,Evidence_Log!$A:$A,0)),"check ID"))</f>
        <v/>
      </c>
      <c r="I290" s="16">
        <f>IF(OR(A290="",C290="External driver"),0,IF(COUNTIFS(D$5:D290,D290,B$5:B290,B290,C$5:C290,"&lt;&gt;External driver")=1,1,0))</f>
        <v/>
      </c>
    </row>
    <row r="291">
      <c r="B291" s="8">
        <f>IF(A291="","",IFERROR(INDEX(Evidence_Log!$B:$B,MATCH(A291,Evidence_Log!$A:$A,0)),"check ID"))</f>
        <v/>
      </c>
      <c r="I291" s="16">
        <f>IF(OR(A291="",C291="External driver"),0,IF(COUNTIFS(D$5:D291,D291,B$5:B291,B291,C$5:C291,"&lt;&gt;External driver")=1,1,0))</f>
        <v/>
      </c>
    </row>
    <row r="292">
      <c r="B292" s="8">
        <f>IF(A292="","",IFERROR(INDEX(Evidence_Log!$B:$B,MATCH(A292,Evidence_Log!$A:$A,0)),"check ID"))</f>
        <v/>
      </c>
      <c r="I292" s="16">
        <f>IF(OR(A292="",C292="External driver"),0,IF(COUNTIFS(D$5:D292,D292,B$5:B292,B292,C$5:C292,"&lt;&gt;External driver")=1,1,0))</f>
        <v/>
      </c>
    </row>
    <row r="293">
      <c r="B293" s="8">
        <f>IF(A293="","",IFERROR(INDEX(Evidence_Log!$B:$B,MATCH(A293,Evidence_Log!$A:$A,0)),"check ID"))</f>
        <v/>
      </c>
      <c r="I293" s="16">
        <f>IF(OR(A293="",C293="External driver"),0,IF(COUNTIFS(D$5:D293,D293,B$5:B293,B293,C$5:C293,"&lt;&gt;External driver")=1,1,0))</f>
        <v/>
      </c>
    </row>
    <row r="294">
      <c r="B294" s="8">
        <f>IF(A294="","",IFERROR(INDEX(Evidence_Log!$B:$B,MATCH(A294,Evidence_Log!$A:$A,0)),"check ID"))</f>
        <v/>
      </c>
      <c r="I294" s="16">
        <f>IF(OR(A294="",C294="External driver"),0,IF(COUNTIFS(D$5:D294,D294,B$5:B294,B294,C$5:C294,"&lt;&gt;External driver")=1,1,0))</f>
        <v/>
      </c>
    </row>
    <row r="295">
      <c r="B295" s="8">
        <f>IF(A295="","",IFERROR(INDEX(Evidence_Log!$B:$B,MATCH(A295,Evidence_Log!$A:$A,0)),"check ID"))</f>
        <v/>
      </c>
      <c r="I295" s="16">
        <f>IF(OR(A295="",C295="External driver"),0,IF(COUNTIFS(D$5:D295,D295,B$5:B295,B295,C$5:C295,"&lt;&gt;External driver")=1,1,0))</f>
        <v/>
      </c>
    </row>
    <row r="296">
      <c r="B296" s="8">
        <f>IF(A296="","",IFERROR(INDEX(Evidence_Log!$B:$B,MATCH(A296,Evidence_Log!$A:$A,0)),"check ID"))</f>
        <v/>
      </c>
      <c r="I296" s="16">
        <f>IF(OR(A296="",C296="External driver"),0,IF(COUNTIFS(D$5:D296,D296,B$5:B296,B296,C$5:C296,"&lt;&gt;External driver")=1,1,0))</f>
        <v/>
      </c>
    </row>
    <row r="297">
      <c r="B297" s="8">
        <f>IF(A297="","",IFERROR(INDEX(Evidence_Log!$B:$B,MATCH(A297,Evidence_Log!$A:$A,0)),"check ID"))</f>
        <v/>
      </c>
      <c r="I297" s="16">
        <f>IF(OR(A297="",C297="External driver"),0,IF(COUNTIFS(D$5:D297,D297,B$5:B297,B297,C$5:C297,"&lt;&gt;External driver")=1,1,0))</f>
        <v/>
      </c>
    </row>
    <row r="298">
      <c r="B298" s="8">
        <f>IF(A298="","",IFERROR(INDEX(Evidence_Log!$B:$B,MATCH(A298,Evidence_Log!$A:$A,0)),"check ID"))</f>
        <v/>
      </c>
      <c r="I298" s="16">
        <f>IF(OR(A298="",C298="External driver"),0,IF(COUNTIFS(D$5:D298,D298,B$5:B298,B298,C$5:C298,"&lt;&gt;External driver")=1,1,0))</f>
        <v/>
      </c>
    </row>
    <row r="299">
      <c r="B299" s="8">
        <f>IF(A299="","",IFERROR(INDEX(Evidence_Log!$B:$B,MATCH(A299,Evidence_Log!$A:$A,0)),"check ID"))</f>
        <v/>
      </c>
      <c r="I299" s="16">
        <f>IF(OR(A299="",C299="External driver"),0,IF(COUNTIFS(D$5:D299,D299,B$5:B299,B299,C$5:C299,"&lt;&gt;External driver")=1,1,0))</f>
        <v/>
      </c>
    </row>
    <row r="300">
      <c r="B300" s="8">
        <f>IF(A300="","",IFERROR(INDEX(Evidence_Log!$B:$B,MATCH(A300,Evidence_Log!$A:$A,0)),"check ID"))</f>
        <v/>
      </c>
      <c r="I300" s="16">
        <f>IF(OR(A300="",C300="External driver"),0,IF(COUNTIFS(D$5:D300,D300,B$5:B300,B300,C$5:C300,"&lt;&gt;External driver")=1,1,0))</f>
        <v/>
      </c>
    </row>
    <row r="301">
      <c r="B301" s="8">
        <f>IF(A301="","",IFERROR(INDEX(Evidence_Log!$B:$B,MATCH(A301,Evidence_Log!$A:$A,0)),"check ID"))</f>
        <v/>
      </c>
      <c r="I301" s="16">
        <f>IF(OR(A301="",C301="External driver"),0,IF(COUNTIFS(D$5:D301,D301,B$5:B301,B301,C$5:C301,"&lt;&gt;External driver")=1,1,0))</f>
        <v/>
      </c>
    </row>
    <row r="302">
      <c r="B302" s="8">
        <f>IF(A302="","",IFERROR(INDEX(Evidence_Log!$B:$B,MATCH(A302,Evidence_Log!$A:$A,0)),"check ID"))</f>
        <v/>
      </c>
      <c r="I302" s="16">
        <f>IF(OR(A302="",C302="External driver"),0,IF(COUNTIFS(D$5:D302,D302,B$5:B302,B302,C$5:C302,"&lt;&gt;External driver")=1,1,0))</f>
        <v/>
      </c>
    </row>
    <row r="303">
      <c r="B303" s="8">
        <f>IF(A303="","",IFERROR(INDEX(Evidence_Log!$B:$B,MATCH(A303,Evidence_Log!$A:$A,0)),"check ID"))</f>
        <v/>
      </c>
      <c r="I303" s="16">
        <f>IF(OR(A303="",C303="External driver"),0,IF(COUNTIFS(D$5:D303,D303,B$5:B303,B303,C$5:C303,"&lt;&gt;External driver")=1,1,0))</f>
        <v/>
      </c>
    </row>
    <row r="304">
      <c r="B304" s="8">
        <f>IF(A304="","",IFERROR(INDEX(Evidence_Log!$B:$B,MATCH(A304,Evidence_Log!$A:$A,0)),"check ID"))</f>
        <v/>
      </c>
      <c r="I304" s="16">
        <f>IF(OR(A304="",C304="External driver"),0,IF(COUNTIFS(D$5:D304,D304,B$5:B304,B304,C$5:C304,"&lt;&gt;External driver")=1,1,0))</f>
        <v/>
      </c>
    </row>
  </sheetData>
  <dataValidations count="2">
    <dataValidation sqref="C5:C304" showDropDown="0" showInputMessage="0" showErrorMessage="0" allowBlank="0" type="list">
      <formula1>"Client exposure,Client action,Client position,External driver"</formula1>
    </dataValidation>
    <dataValidation sqref="G5:G304" showDropDown="0" showInputMessage="0" showErrorMessage="0" allowBlank="0" type="list">
      <formula1>"Direct,Indirect"</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0" customWidth="1" min="1" max="1"/>
    <col width="34" customWidth="1" min="2" max="2"/>
    <col width="12" customWidth="1" min="3" max="3"/>
    <col width="95" customWidth="1" min="4" max="4"/>
  </cols>
  <sheetData>
    <row r="1">
      <c r="A1" s="1" t="inlineStr">
        <is>
          <t>Scoring rubric</t>
        </is>
      </c>
    </row>
    <row r="4">
      <c r="A4" s="18" t="inlineStr">
        <is>
          <t>Code</t>
        </is>
      </c>
      <c r="B4" s="18" t="inlineStr">
        <is>
          <t>Criterion</t>
        </is>
      </c>
      <c r="C4" s="18" t="inlineStr">
        <is>
          <t>Weight</t>
        </is>
      </c>
      <c r="D4" s="18" t="inlineStr">
        <is>
          <t>What 5 / 1 means</t>
        </is>
      </c>
    </row>
    <row r="5">
      <c r="A5" s="5" t="inlineStr">
        <is>
          <t>C1</t>
        </is>
      </c>
      <c r="B5" s="19" t="inlineStr">
        <is>
          <t>Materiality to client</t>
        </is>
      </c>
      <c r="C5" s="20" t="n">
        <v>0.3</v>
      </c>
      <c r="D5" s="19" t="inlineStr">
        <is>
          <t>5 = core business line, disclosed material topic or large exposure; 1 = no identifiable relevance in sources</t>
        </is>
      </c>
    </row>
    <row r="6">
      <c r="A6" s="5" t="inlineStr">
        <is>
          <t>C2</t>
        </is>
      </c>
      <c r="B6" s="19" t="inlineStr">
        <is>
          <t>Action gap</t>
        </is>
      </c>
      <c r="C6" s="20" t="n">
        <v>0.25</v>
      </c>
      <c r="D6" s="19" t="inlineStr">
        <is>
          <t>5 = material but no disclosed action; 3 = commitments/eligibility criteria without targets; 1 = quantified nature targets with reported progress. Cap at 2 when C1 ≤ 2.</t>
        </is>
      </c>
    </row>
    <row r="7">
      <c r="A7" s="5" t="inlineStr">
        <is>
          <t>C3</t>
        </is>
      </c>
      <c r="B7" s="19" t="inlineStr">
        <is>
          <t>NBSAP emphasis</t>
        </is>
      </c>
      <c r="C7" s="20" t="n">
        <v>0.2</v>
      </c>
      <c r="D7" s="19" t="inlineStr">
        <is>
          <t>Number of NBSAP commitments for the sub-theme in the selected country (bands below)</t>
        </is>
      </c>
    </row>
    <row r="8">
      <c r="A8" s="5" t="inlineStr">
        <is>
          <t>C4</t>
        </is>
      </c>
      <c r="B8" s="19" t="inlineStr">
        <is>
          <t>Regulatory and market momentum</t>
        </is>
      </c>
      <c r="C8" s="20" t="n">
        <v>0.15</v>
      </c>
      <c r="D8" s="19" t="inlineStr">
        <is>
          <t>5 = mandatory requirements in force/confirmed; 1 = none identified in sources</t>
        </is>
      </c>
    </row>
    <row r="9">
      <c r="A9" s="5" t="inlineStr">
        <is>
          <t>C5</t>
        </is>
      </c>
      <c r="B9" s="19" t="inlineStr">
        <is>
          <t>Market opportunity</t>
        </is>
      </c>
      <c r="C9" s="20" t="n">
        <v>0.1</v>
      </c>
      <c r="D9" s="19" t="inlineStr">
        <is>
          <t>Relative rank of NBSAP commitment value within the selected country (bands below); 1 if no commitments</t>
        </is>
      </c>
    </row>
    <row r="10">
      <c r="B10" s="5" t="inlineStr">
        <is>
          <t>Total weight</t>
        </is>
      </c>
      <c r="C10" s="21">
        <f>SUM(C5:C9)</f>
        <v/>
      </c>
    </row>
    <row r="12">
      <c r="A12" s="5" t="inlineStr">
        <is>
          <t>Tiers</t>
        </is>
      </c>
    </row>
    <row r="13">
      <c r="B13" s="19" t="inlineStr">
        <is>
          <t>High: score at least</t>
        </is>
      </c>
      <c r="C13" s="22" t="n">
        <v>4</v>
      </c>
    </row>
    <row r="14">
      <c r="B14" s="19" t="inlineStr">
        <is>
          <t>Medium: score at least</t>
        </is>
      </c>
      <c r="C14" s="22" t="n">
        <v>3</v>
      </c>
    </row>
    <row r="16">
      <c r="D16" s="7" t="inlineStr">
        <is>
          <t>Tie-break: higher C1, then higher C2, then more client evidence items.</t>
        </is>
      </c>
    </row>
    <row r="18">
      <c r="A18" s="5" t="inlineStr">
        <is>
          <t>Confidence</t>
        </is>
      </c>
    </row>
    <row r="19">
      <c r="D19" s="19" t="inlineStr">
        <is>
          <t>High: 3+ client items from 2+ sources with at least one Direct mapping. Medium: 1+ client items. Low: no client evidence.</t>
        </is>
      </c>
    </row>
    <row r="21">
      <c r="A21" s="5" t="inlineStr">
        <is>
          <t>C3 bands</t>
        </is>
      </c>
      <c r="B21" s="5" t="inlineStr">
        <is>
          <t>Commitments (no.) at least</t>
        </is>
      </c>
      <c r="C21" s="5" t="inlineStr">
        <is>
          <t>Score</t>
        </is>
      </c>
    </row>
    <row r="22">
      <c r="B22" s="23" t="n">
        <v>4</v>
      </c>
      <c r="C22" s="23" t="n">
        <v>5</v>
      </c>
    </row>
    <row r="23">
      <c r="B23" s="23" t="n">
        <v>3</v>
      </c>
      <c r="C23" s="23" t="n">
        <v>4</v>
      </c>
    </row>
    <row r="24">
      <c r="B24" s="23" t="n">
        <v>2</v>
      </c>
      <c r="C24" s="23" t="n">
        <v>3</v>
      </c>
    </row>
    <row r="25">
      <c r="B25" s="23" t="n">
        <v>1</v>
      </c>
      <c r="C25" s="23" t="n">
        <v>2</v>
      </c>
    </row>
    <row r="26">
      <c r="B26" s="23" t="n">
        <v>0</v>
      </c>
      <c r="C26" s="23" t="n">
        <v>1</v>
      </c>
    </row>
    <row r="28">
      <c r="A28" s="5" t="inlineStr">
        <is>
          <t>C5 bands</t>
        </is>
      </c>
      <c r="B28" s="5" t="inlineStr">
        <is>
          <t>Relative rank at least</t>
        </is>
      </c>
      <c r="C28" s="5" t="inlineStr">
        <is>
          <t>Score</t>
        </is>
      </c>
    </row>
    <row r="29">
      <c r="B29" s="24" t="n">
        <v>0.8</v>
      </c>
      <c r="C29" s="23" t="n">
        <v>5</v>
      </c>
    </row>
    <row r="30">
      <c r="B30" s="24" t="n">
        <v>0.6</v>
      </c>
      <c r="C30" s="23" t="n">
        <v>4</v>
      </c>
    </row>
    <row r="31">
      <c r="B31" s="24" t="n">
        <v>0.4</v>
      </c>
      <c r="C31" s="23" t="n">
        <v>3</v>
      </c>
    </row>
    <row r="32">
      <c r="B32" s="24" t="n">
        <v>0.2</v>
      </c>
      <c r="C32" s="23" t="n">
        <v>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19"/>
  <sheetViews>
    <sheetView workbookViewId="0">
      <pane ySplit="4" topLeftCell="A5" activePane="bottomLeft" state="frozen"/>
      <selection pane="bottomLeft" activeCell="A1" sqref="A1"/>
    </sheetView>
  </sheetViews>
  <sheetFormatPr baseColWidth="8" defaultRowHeight="15"/>
  <cols>
    <col width="6" customWidth="1" min="1" max="1"/>
    <col width="10" customWidth="1" min="2" max="2"/>
    <col width="26" customWidth="1" min="3" max="3"/>
    <col width="30" customWidth="1" min="4" max="4"/>
    <col width="10" customWidth="1" min="5" max="5"/>
    <col width="10" customWidth="1" min="6" max="6"/>
    <col width="10" customWidth="1" min="7" max="7"/>
    <col width="12" customWidth="1" min="8" max="8"/>
    <col width="11" customWidth="1" min="9" max="9"/>
    <col width="10" customWidth="1" min="10" max="10"/>
    <col width="9" customWidth="1" min="11" max="11"/>
    <col width="11" customWidth="1" min="12" max="12"/>
    <col width="10" customWidth="1" min="13" max="13"/>
    <col width="10" customWidth="1" min="14" max="14"/>
    <col width="10" customWidth="1" min="15" max="15"/>
    <col width="26" customWidth="1" min="16" max="16"/>
    <col width="70" customWidth="1" min="17" max="17"/>
    <col width="30" customWidth="1" min="18" max="18"/>
    <col hidden="1" width="12" customWidth="1" min="19" max="19"/>
    <col width="40" customWidth="1" min="20" max="20"/>
    <col width="22" customWidth="1" min="21" max="21"/>
  </cols>
  <sheetData>
    <row r="1">
      <c r="A1" s="1" t="inlineStr">
        <is>
          <t>Scoring and ranking</t>
        </is>
      </c>
    </row>
    <row r="2">
      <c r="A2" s="10" t="inlineStr">
        <is>
          <t>Paste Copilot Step 5 output into the blue columns (E, F, H, P, Q, R, T, U). Everything else calculates. Sort by Rank for the slide.</t>
        </is>
      </c>
    </row>
    <row r="4">
      <c r="A4" s="4" t="inlineStr">
        <is>
          <t>Rank</t>
        </is>
      </c>
      <c r="B4" s="4" t="inlineStr">
        <is>
          <t>SubTheme_ID</t>
        </is>
      </c>
      <c r="C4" s="4" t="inlineStr">
        <is>
          <t>Theme</t>
        </is>
      </c>
      <c r="D4" s="4" t="inlineStr">
        <is>
          <t>Sub-theme</t>
        </is>
      </c>
      <c r="E4" s="4" t="inlineStr">
        <is>
          <t>C1 Materiality</t>
        </is>
      </c>
      <c r="F4" s="4" t="inlineStr">
        <is>
          <t>C2 Action gap</t>
        </is>
      </c>
      <c r="G4" s="4" t="inlineStr">
        <is>
          <t>C3 NBSAP emphasis</t>
        </is>
      </c>
      <c r="H4" s="4" t="inlineStr">
        <is>
          <t>C4 Regulatory &amp; market momentum</t>
        </is>
      </c>
      <c r="I4" s="4" t="inlineStr">
        <is>
          <t>C5 Market opportunity</t>
        </is>
      </c>
      <c r="J4" s="4" t="inlineStr">
        <is>
          <t>Weighted score</t>
        </is>
      </c>
      <c r="K4" s="4" t="inlineStr">
        <is>
          <t>Tier</t>
        </is>
      </c>
      <c r="L4" s="4" t="inlineStr">
        <is>
          <t>Confidence</t>
        </is>
      </c>
      <c r="M4" s="4" t="inlineStr">
        <is>
          <t>Client evidence (no.)</t>
        </is>
      </c>
      <c r="N4" s="4" t="inlineStr">
        <is>
          <t>Client sources (no.)</t>
        </is>
      </c>
      <c r="O4" s="4" t="inlineStr">
        <is>
          <t>Direct mappings (no.)</t>
        </is>
      </c>
      <c r="P4" s="4" t="inlineStr">
        <is>
          <t>Evidence_IDs</t>
        </is>
      </c>
      <c r="Q4" s="4" t="inlineStr">
        <is>
          <t>Rationale</t>
        </is>
      </c>
      <c r="R4" s="4" t="inlineStr">
        <is>
          <t>Client exposure (as disclosed)</t>
        </is>
      </c>
      <c r="S4" s="4" t="inlineStr">
        <is>
          <t>Sort key</t>
        </is>
      </c>
      <c r="T4" s="4" t="inlineStr">
        <is>
          <t>Key evidence for slide (≤12 words)</t>
        </is>
      </c>
      <c r="U4" s="4" t="inlineStr">
        <is>
          <t>Exposure for slide (≤4 words)</t>
        </is>
      </c>
    </row>
    <row r="5">
      <c r="A5" s="19">
        <f>RANK(S5,$S$5:$S$19)</f>
        <v/>
      </c>
      <c r="B5" s="19" t="inlineStr">
        <is>
          <t>W01</t>
        </is>
      </c>
      <c r="C5" s="8">
        <f>Taxonomy!B5</f>
        <v/>
      </c>
      <c r="D5" s="8">
        <f>Taxonomy!D5</f>
        <v/>
      </c>
      <c r="E5" s="6" t="n"/>
      <c r="F5" s="6" t="n"/>
      <c r="G5" s="8">
        <f>Taxonomy!J5</f>
        <v/>
      </c>
      <c r="H5" s="6" t="n"/>
      <c r="I5" s="8">
        <f>Taxonomy!K5</f>
        <v/>
      </c>
      <c r="J5" s="25">
        <f>IF(COUNT(E5,F5,H5)&lt;3,"",ROUND(E5*Rubric!$C$5+F5*Rubric!$C$6+G5*Rubric!$C$7+H5*Rubric!$C$8+I5*Rubric!$C$9+0.000000001,1))</f>
        <v/>
      </c>
      <c r="K5" s="19">
        <f>IF(J5="","",IF(J5&gt;=Rubric!$C$13,"High",IF(J5&gt;=Rubric!$C$14,"Medium","Low")))</f>
        <v/>
      </c>
      <c r="L5" s="19">
        <f>IF(M5=0,"Low",IF(AND(M5&gt;=3,N5&gt;=2,O5&gt;=1),"High","Medium"))</f>
        <v/>
      </c>
      <c r="M5" s="19">
        <f>COUNTIFS(NBSAP_Mapping!$D$5:$D$304,B5,NBSAP_Mapping!$C$5:$C$304,"&lt;&gt;External driver",NBSAP_Mapping!$C$5:$C$304,"&lt;&gt;")</f>
        <v/>
      </c>
      <c r="N5" s="19">
        <f>SUMIFS(NBSAP_Mapping!$I$5:$I$304,NBSAP_Mapping!$D$5:$D$304,B5)</f>
        <v/>
      </c>
      <c r="O5" s="19">
        <f>COUNTIFS(NBSAP_Mapping!$D$5:$D$304,B5,NBSAP_Mapping!$C$5:$C$304,"&lt;&gt;External driver",NBSAP_Mapping!$C$5:$C$304,"&lt;&gt;",NBSAP_Mapping!$G$5:$G$304,"Direct")</f>
        <v/>
      </c>
      <c r="P5" s="6" t="n"/>
      <c r="Q5" s="6" t="n"/>
      <c r="R5" s="6" t="n"/>
      <c r="S5" s="26">
        <f>IF(J5="",0,J5*10000+E5*100+F5*10+MIN(M5,9))-ROW()/100000</f>
        <v/>
      </c>
      <c r="T5" s="6" t="n"/>
      <c r="U5" s="6" t="n"/>
    </row>
    <row r="6">
      <c r="A6" s="19">
        <f>RANK(S6,$S$5:$S$19)</f>
        <v/>
      </c>
      <c r="B6" s="19" t="inlineStr">
        <is>
          <t>W02</t>
        </is>
      </c>
      <c r="C6" s="8">
        <f>Taxonomy!B6</f>
        <v/>
      </c>
      <c r="D6" s="8">
        <f>Taxonomy!D6</f>
        <v/>
      </c>
      <c r="E6" s="6" t="n"/>
      <c r="F6" s="6" t="n"/>
      <c r="G6" s="8">
        <f>Taxonomy!J6</f>
        <v/>
      </c>
      <c r="H6" s="6" t="n"/>
      <c r="I6" s="8">
        <f>Taxonomy!K6</f>
        <v/>
      </c>
      <c r="J6" s="25">
        <f>IF(COUNT(E6,F6,H6)&lt;3,"",ROUND(E6*Rubric!$C$5+F6*Rubric!$C$6+G6*Rubric!$C$7+H6*Rubric!$C$8+I6*Rubric!$C$9+0.000000001,1))</f>
        <v/>
      </c>
      <c r="K6" s="19">
        <f>IF(J6="","",IF(J6&gt;=Rubric!$C$13,"High",IF(J6&gt;=Rubric!$C$14,"Medium","Low")))</f>
        <v/>
      </c>
      <c r="L6" s="19">
        <f>IF(M6=0,"Low",IF(AND(M6&gt;=3,N6&gt;=2,O6&gt;=1),"High","Medium"))</f>
        <v/>
      </c>
      <c r="M6" s="19">
        <f>COUNTIFS(NBSAP_Mapping!$D$5:$D$304,B6,NBSAP_Mapping!$C$5:$C$304,"&lt;&gt;External driver",NBSAP_Mapping!$C$5:$C$304,"&lt;&gt;")</f>
        <v/>
      </c>
      <c r="N6" s="19">
        <f>SUMIFS(NBSAP_Mapping!$I$5:$I$304,NBSAP_Mapping!$D$5:$D$304,B6)</f>
        <v/>
      </c>
      <c r="O6" s="19">
        <f>COUNTIFS(NBSAP_Mapping!$D$5:$D$304,B6,NBSAP_Mapping!$C$5:$C$304,"&lt;&gt;External driver",NBSAP_Mapping!$C$5:$C$304,"&lt;&gt;",NBSAP_Mapping!$G$5:$G$304,"Direct")</f>
        <v/>
      </c>
      <c r="P6" s="6" t="n"/>
      <c r="Q6" s="6" t="n"/>
      <c r="R6" s="6" t="n"/>
      <c r="S6" s="26">
        <f>IF(J6="",0,J6*10000+E6*100+F6*10+MIN(M6,9))-ROW()/100000</f>
        <v/>
      </c>
      <c r="T6" s="6" t="n"/>
      <c r="U6" s="6" t="n"/>
    </row>
    <row r="7">
      <c r="A7" s="19">
        <f>RANK(S7,$S$5:$S$19)</f>
        <v/>
      </c>
      <c r="B7" s="19" t="inlineStr">
        <is>
          <t>W03</t>
        </is>
      </c>
      <c r="C7" s="8">
        <f>Taxonomy!B7</f>
        <v/>
      </c>
      <c r="D7" s="8">
        <f>Taxonomy!D7</f>
        <v/>
      </c>
      <c r="E7" s="6" t="n"/>
      <c r="F7" s="6" t="n"/>
      <c r="G7" s="8">
        <f>Taxonomy!J7</f>
        <v/>
      </c>
      <c r="H7" s="6" t="n"/>
      <c r="I7" s="8">
        <f>Taxonomy!K7</f>
        <v/>
      </c>
      <c r="J7" s="25">
        <f>IF(COUNT(E7,F7,H7)&lt;3,"",ROUND(E7*Rubric!$C$5+F7*Rubric!$C$6+G7*Rubric!$C$7+H7*Rubric!$C$8+I7*Rubric!$C$9+0.000000001,1))</f>
        <v/>
      </c>
      <c r="K7" s="19">
        <f>IF(J7="","",IF(J7&gt;=Rubric!$C$13,"High",IF(J7&gt;=Rubric!$C$14,"Medium","Low")))</f>
        <v/>
      </c>
      <c r="L7" s="19">
        <f>IF(M7=0,"Low",IF(AND(M7&gt;=3,N7&gt;=2,O7&gt;=1),"High","Medium"))</f>
        <v/>
      </c>
      <c r="M7" s="19">
        <f>COUNTIFS(NBSAP_Mapping!$D$5:$D$304,B7,NBSAP_Mapping!$C$5:$C$304,"&lt;&gt;External driver",NBSAP_Mapping!$C$5:$C$304,"&lt;&gt;")</f>
        <v/>
      </c>
      <c r="N7" s="19">
        <f>SUMIFS(NBSAP_Mapping!$I$5:$I$304,NBSAP_Mapping!$D$5:$D$304,B7)</f>
        <v/>
      </c>
      <c r="O7" s="19">
        <f>COUNTIFS(NBSAP_Mapping!$D$5:$D$304,B7,NBSAP_Mapping!$C$5:$C$304,"&lt;&gt;External driver",NBSAP_Mapping!$C$5:$C$304,"&lt;&gt;",NBSAP_Mapping!$G$5:$G$304,"Direct")</f>
        <v/>
      </c>
      <c r="P7" s="6" t="n"/>
      <c r="Q7" s="6" t="n"/>
      <c r="R7" s="6" t="n"/>
      <c r="S7" s="26">
        <f>IF(J7="",0,J7*10000+E7*100+F7*10+MIN(M7,9))-ROW()/100000</f>
        <v/>
      </c>
      <c r="T7" s="6" t="n"/>
      <c r="U7" s="6" t="n"/>
    </row>
    <row r="8">
      <c r="A8" s="19">
        <f>RANK(S8,$S$5:$S$19)</f>
        <v/>
      </c>
      <c r="B8" s="19" t="inlineStr">
        <is>
          <t>AFF01</t>
        </is>
      </c>
      <c r="C8" s="8">
        <f>Taxonomy!B8</f>
        <v/>
      </c>
      <c r="D8" s="8">
        <f>Taxonomy!D8</f>
        <v/>
      </c>
      <c r="E8" s="6" t="n"/>
      <c r="F8" s="6" t="n"/>
      <c r="G8" s="8">
        <f>Taxonomy!J8</f>
        <v/>
      </c>
      <c r="H8" s="6" t="n"/>
      <c r="I8" s="8">
        <f>Taxonomy!K8</f>
        <v/>
      </c>
      <c r="J8" s="25">
        <f>IF(COUNT(E8,F8,H8)&lt;3,"",ROUND(E8*Rubric!$C$5+F8*Rubric!$C$6+G8*Rubric!$C$7+H8*Rubric!$C$8+I8*Rubric!$C$9+0.000000001,1))</f>
        <v/>
      </c>
      <c r="K8" s="19">
        <f>IF(J8="","",IF(J8&gt;=Rubric!$C$13,"High",IF(J8&gt;=Rubric!$C$14,"Medium","Low")))</f>
        <v/>
      </c>
      <c r="L8" s="19">
        <f>IF(M8=0,"Low",IF(AND(M8&gt;=3,N8&gt;=2,O8&gt;=1),"High","Medium"))</f>
        <v/>
      </c>
      <c r="M8" s="19">
        <f>COUNTIFS(NBSAP_Mapping!$D$5:$D$304,B8,NBSAP_Mapping!$C$5:$C$304,"&lt;&gt;External driver",NBSAP_Mapping!$C$5:$C$304,"&lt;&gt;")</f>
        <v/>
      </c>
      <c r="N8" s="19">
        <f>SUMIFS(NBSAP_Mapping!$I$5:$I$304,NBSAP_Mapping!$D$5:$D$304,B8)</f>
        <v/>
      </c>
      <c r="O8" s="19">
        <f>COUNTIFS(NBSAP_Mapping!$D$5:$D$304,B8,NBSAP_Mapping!$C$5:$C$304,"&lt;&gt;External driver",NBSAP_Mapping!$C$5:$C$304,"&lt;&gt;",NBSAP_Mapping!$G$5:$G$304,"Direct")</f>
        <v/>
      </c>
      <c r="P8" s="6" t="n"/>
      <c r="Q8" s="6" t="n"/>
      <c r="R8" s="6" t="n"/>
      <c r="S8" s="26">
        <f>IF(J8="",0,J8*10000+E8*100+F8*10+MIN(M8,9))-ROW()/100000</f>
        <v/>
      </c>
      <c r="T8" s="6" t="n"/>
      <c r="U8" s="6" t="n"/>
    </row>
    <row r="9">
      <c r="A9" s="19">
        <f>RANK(S9,$S$5:$S$19)</f>
        <v/>
      </c>
      <c r="B9" s="19" t="inlineStr">
        <is>
          <t>AFF02</t>
        </is>
      </c>
      <c r="C9" s="8">
        <f>Taxonomy!B9</f>
        <v/>
      </c>
      <c r="D9" s="8">
        <f>Taxonomy!D9</f>
        <v/>
      </c>
      <c r="E9" s="6" t="n"/>
      <c r="F9" s="6" t="n"/>
      <c r="G9" s="8">
        <f>Taxonomy!J9</f>
        <v/>
      </c>
      <c r="H9" s="6" t="n"/>
      <c r="I9" s="8">
        <f>Taxonomy!K9</f>
        <v/>
      </c>
      <c r="J9" s="25">
        <f>IF(COUNT(E9,F9,H9)&lt;3,"",ROUND(E9*Rubric!$C$5+F9*Rubric!$C$6+G9*Rubric!$C$7+H9*Rubric!$C$8+I9*Rubric!$C$9+0.000000001,1))</f>
        <v/>
      </c>
      <c r="K9" s="19">
        <f>IF(J9="","",IF(J9&gt;=Rubric!$C$13,"High",IF(J9&gt;=Rubric!$C$14,"Medium","Low")))</f>
        <v/>
      </c>
      <c r="L9" s="19">
        <f>IF(M9=0,"Low",IF(AND(M9&gt;=3,N9&gt;=2,O9&gt;=1),"High","Medium"))</f>
        <v/>
      </c>
      <c r="M9" s="19">
        <f>COUNTIFS(NBSAP_Mapping!$D$5:$D$304,B9,NBSAP_Mapping!$C$5:$C$304,"&lt;&gt;External driver",NBSAP_Mapping!$C$5:$C$304,"&lt;&gt;")</f>
        <v/>
      </c>
      <c r="N9" s="19">
        <f>SUMIFS(NBSAP_Mapping!$I$5:$I$304,NBSAP_Mapping!$D$5:$D$304,B9)</f>
        <v/>
      </c>
      <c r="O9" s="19">
        <f>COUNTIFS(NBSAP_Mapping!$D$5:$D$304,B9,NBSAP_Mapping!$C$5:$C$304,"&lt;&gt;External driver",NBSAP_Mapping!$C$5:$C$304,"&lt;&gt;",NBSAP_Mapping!$G$5:$G$304,"Direct")</f>
        <v/>
      </c>
      <c r="P9" s="6" t="n"/>
      <c r="Q9" s="6" t="n"/>
      <c r="R9" s="6" t="n"/>
      <c r="S9" s="26">
        <f>IF(J9="",0,J9*10000+E9*100+F9*10+MIN(M9,9))-ROW()/100000</f>
        <v/>
      </c>
      <c r="T9" s="6" t="n"/>
      <c r="U9" s="6" t="n"/>
    </row>
    <row r="10">
      <c r="A10" s="19">
        <f>RANK(S10,$S$5:$S$19)</f>
        <v/>
      </c>
      <c r="B10" s="19" t="inlineStr">
        <is>
          <t>AFF03</t>
        </is>
      </c>
      <c r="C10" s="8">
        <f>Taxonomy!B10</f>
        <v/>
      </c>
      <c r="D10" s="8">
        <f>Taxonomy!D10</f>
        <v/>
      </c>
      <c r="E10" s="6" t="n"/>
      <c r="F10" s="6" t="n"/>
      <c r="G10" s="8">
        <f>Taxonomy!J10</f>
        <v/>
      </c>
      <c r="H10" s="6" t="n"/>
      <c r="I10" s="8">
        <f>Taxonomy!K10</f>
        <v/>
      </c>
      <c r="J10" s="25">
        <f>IF(COUNT(E10,F10,H10)&lt;3,"",ROUND(E10*Rubric!$C$5+F10*Rubric!$C$6+G10*Rubric!$C$7+H10*Rubric!$C$8+I10*Rubric!$C$9+0.000000001,1))</f>
        <v/>
      </c>
      <c r="K10" s="19">
        <f>IF(J10="","",IF(J10&gt;=Rubric!$C$13,"High",IF(J10&gt;=Rubric!$C$14,"Medium","Low")))</f>
        <v/>
      </c>
      <c r="L10" s="19">
        <f>IF(M10=0,"Low",IF(AND(M10&gt;=3,N10&gt;=2,O10&gt;=1),"High","Medium"))</f>
        <v/>
      </c>
      <c r="M10" s="19">
        <f>COUNTIFS(NBSAP_Mapping!$D$5:$D$304,B10,NBSAP_Mapping!$C$5:$C$304,"&lt;&gt;External driver",NBSAP_Mapping!$C$5:$C$304,"&lt;&gt;")</f>
        <v/>
      </c>
      <c r="N10" s="19">
        <f>SUMIFS(NBSAP_Mapping!$I$5:$I$304,NBSAP_Mapping!$D$5:$D$304,B10)</f>
        <v/>
      </c>
      <c r="O10" s="19">
        <f>COUNTIFS(NBSAP_Mapping!$D$5:$D$304,B10,NBSAP_Mapping!$C$5:$C$304,"&lt;&gt;External driver",NBSAP_Mapping!$C$5:$C$304,"&lt;&gt;",NBSAP_Mapping!$G$5:$G$304,"Direct")</f>
        <v/>
      </c>
      <c r="P10" s="6" t="n"/>
      <c r="Q10" s="6" t="n"/>
      <c r="R10" s="6" t="n"/>
      <c r="S10" s="26">
        <f>IF(J10="",0,J10*10000+E10*100+F10*10+MIN(M10,9))-ROW()/100000</f>
        <v/>
      </c>
      <c r="T10" s="6" t="n"/>
      <c r="U10" s="6" t="n"/>
    </row>
    <row r="11">
      <c r="A11" s="19">
        <f>RANK(S11,$S$5:$S$19)</f>
        <v/>
      </c>
      <c r="B11" s="19" t="inlineStr">
        <is>
          <t>UD01</t>
        </is>
      </c>
      <c r="C11" s="8">
        <f>Taxonomy!B11</f>
        <v/>
      </c>
      <c r="D11" s="8">
        <f>Taxonomy!D11</f>
        <v/>
      </c>
      <c r="E11" s="6" t="n"/>
      <c r="F11" s="6" t="n"/>
      <c r="G11" s="8">
        <f>Taxonomy!J11</f>
        <v/>
      </c>
      <c r="H11" s="6" t="n"/>
      <c r="I11" s="8">
        <f>Taxonomy!K11</f>
        <v/>
      </c>
      <c r="J11" s="25">
        <f>IF(COUNT(E11,F11,H11)&lt;3,"",ROUND(E11*Rubric!$C$5+F11*Rubric!$C$6+G11*Rubric!$C$7+H11*Rubric!$C$8+I11*Rubric!$C$9+0.000000001,1))</f>
        <v/>
      </c>
      <c r="K11" s="19">
        <f>IF(J11="","",IF(J11&gt;=Rubric!$C$13,"High",IF(J11&gt;=Rubric!$C$14,"Medium","Low")))</f>
        <v/>
      </c>
      <c r="L11" s="19">
        <f>IF(M11=0,"Low",IF(AND(M11&gt;=3,N11&gt;=2,O11&gt;=1),"High","Medium"))</f>
        <v/>
      </c>
      <c r="M11" s="19">
        <f>COUNTIFS(NBSAP_Mapping!$D$5:$D$304,B11,NBSAP_Mapping!$C$5:$C$304,"&lt;&gt;External driver",NBSAP_Mapping!$C$5:$C$304,"&lt;&gt;")</f>
        <v/>
      </c>
      <c r="N11" s="19">
        <f>SUMIFS(NBSAP_Mapping!$I$5:$I$304,NBSAP_Mapping!$D$5:$D$304,B11)</f>
        <v/>
      </c>
      <c r="O11" s="19">
        <f>COUNTIFS(NBSAP_Mapping!$D$5:$D$304,B11,NBSAP_Mapping!$C$5:$C$304,"&lt;&gt;External driver",NBSAP_Mapping!$C$5:$C$304,"&lt;&gt;",NBSAP_Mapping!$G$5:$G$304,"Direct")</f>
        <v/>
      </c>
      <c r="P11" s="6" t="n"/>
      <c r="Q11" s="6" t="n"/>
      <c r="R11" s="6" t="n"/>
      <c r="S11" s="26">
        <f>IF(J11="",0,J11*10000+E11*100+F11*10+MIN(M11,9))-ROW()/100000</f>
        <v/>
      </c>
      <c r="T11" s="6" t="n"/>
      <c r="U11" s="6" t="n"/>
    </row>
    <row r="12">
      <c r="A12" s="19">
        <f>RANK(S12,$S$5:$S$19)</f>
        <v/>
      </c>
      <c r="B12" s="19" t="inlineStr">
        <is>
          <t>UD02</t>
        </is>
      </c>
      <c r="C12" s="8">
        <f>Taxonomy!B12</f>
        <v/>
      </c>
      <c r="D12" s="8">
        <f>Taxonomy!D12</f>
        <v/>
      </c>
      <c r="E12" s="6" t="n"/>
      <c r="F12" s="6" t="n"/>
      <c r="G12" s="8">
        <f>Taxonomy!J12</f>
        <v/>
      </c>
      <c r="H12" s="6" t="n"/>
      <c r="I12" s="8">
        <f>Taxonomy!K12</f>
        <v/>
      </c>
      <c r="J12" s="25">
        <f>IF(COUNT(E12,F12,H12)&lt;3,"",ROUND(E12*Rubric!$C$5+F12*Rubric!$C$6+G12*Rubric!$C$7+H12*Rubric!$C$8+I12*Rubric!$C$9+0.000000001,1))</f>
        <v/>
      </c>
      <c r="K12" s="19">
        <f>IF(J12="","",IF(J12&gt;=Rubric!$C$13,"High",IF(J12&gt;=Rubric!$C$14,"Medium","Low")))</f>
        <v/>
      </c>
      <c r="L12" s="19">
        <f>IF(M12=0,"Low",IF(AND(M12&gt;=3,N12&gt;=2,O12&gt;=1),"High","Medium"))</f>
        <v/>
      </c>
      <c r="M12" s="19">
        <f>COUNTIFS(NBSAP_Mapping!$D$5:$D$304,B12,NBSAP_Mapping!$C$5:$C$304,"&lt;&gt;External driver",NBSAP_Mapping!$C$5:$C$304,"&lt;&gt;")</f>
        <v/>
      </c>
      <c r="N12" s="19">
        <f>SUMIFS(NBSAP_Mapping!$I$5:$I$304,NBSAP_Mapping!$D$5:$D$304,B12)</f>
        <v/>
      </c>
      <c r="O12" s="19">
        <f>COUNTIFS(NBSAP_Mapping!$D$5:$D$304,B12,NBSAP_Mapping!$C$5:$C$304,"&lt;&gt;External driver",NBSAP_Mapping!$C$5:$C$304,"&lt;&gt;",NBSAP_Mapping!$G$5:$G$304,"Direct")</f>
        <v/>
      </c>
      <c r="P12" s="6" t="n"/>
      <c r="Q12" s="6" t="n"/>
      <c r="R12" s="6" t="n"/>
      <c r="S12" s="26">
        <f>IF(J12="",0,J12*10000+E12*100+F12*10+MIN(M12,9))-ROW()/100000</f>
        <v/>
      </c>
      <c r="T12" s="6" t="n"/>
      <c r="U12" s="6" t="n"/>
    </row>
    <row r="13">
      <c r="A13" s="19">
        <f>RANK(S13,$S$5:$S$19)</f>
        <v/>
      </c>
      <c r="B13" s="19" t="inlineStr">
        <is>
          <t>UD03</t>
        </is>
      </c>
      <c r="C13" s="8">
        <f>Taxonomy!B13</f>
        <v/>
      </c>
      <c r="D13" s="8">
        <f>Taxonomy!D13</f>
        <v/>
      </c>
      <c r="E13" s="6" t="n"/>
      <c r="F13" s="6" t="n"/>
      <c r="G13" s="8">
        <f>Taxonomy!J13</f>
        <v/>
      </c>
      <c r="H13" s="6" t="n"/>
      <c r="I13" s="8">
        <f>Taxonomy!K13</f>
        <v/>
      </c>
      <c r="J13" s="25">
        <f>IF(COUNT(E13,F13,H13)&lt;3,"",ROUND(E13*Rubric!$C$5+F13*Rubric!$C$6+G13*Rubric!$C$7+H13*Rubric!$C$8+I13*Rubric!$C$9+0.000000001,1))</f>
        <v/>
      </c>
      <c r="K13" s="19">
        <f>IF(J13="","",IF(J13&gt;=Rubric!$C$13,"High",IF(J13&gt;=Rubric!$C$14,"Medium","Low")))</f>
        <v/>
      </c>
      <c r="L13" s="19">
        <f>IF(M13=0,"Low",IF(AND(M13&gt;=3,N13&gt;=2,O13&gt;=1),"High","Medium"))</f>
        <v/>
      </c>
      <c r="M13" s="19">
        <f>COUNTIFS(NBSAP_Mapping!$D$5:$D$304,B13,NBSAP_Mapping!$C$5:$C$304,"&lt;&gt;External driver",NBSAP_Mapping!$C$5:$C$304,"&lt;&gt;")</f>
        <v/>
      </c>
      <c r="N13" s="19">
        <f>SUMIFS(NBSAP_Mapping!$I$5:$I$304,NBSAP_Mapping!$D$5:$D$304,B13)</f>
        <v/>
      </c>
      <c r="O13" s="19">
        <f>COUNTIFS(NBSAP_Mapping!$D$5:$D$304,B13,NBSAP_Mapping!$C$5:$C$304,"&lt;&gt;External driver",NBSAP_Mapping!$C$5:$C$304,"&lt;&gt;",NBSAP_Mapping!$G$5:$G$304,"Direct")</f>
        <v/>
      </c>
      <c r="P13" s="6" t="n"/>
      <c r="Q13" s="6" t="n"/>
      <c r="R13" s="6" t="n"/>
      <c r="S13" s="26">
        <f>IF(J13="",0,J13*10000+E13*100+F13*10+MIN(M13,9))-ROW()/100000</f>
        <v/>
      </c>
      <c r="T13" s="6" t="n"/>
      <c r="U13" s="6" t="n"/>
    </row>
    <row r="14">
      <c r="A14" s="19">
        <f>RANK(S14,$S$5:$S$19)</f>
        <v/>
      </c>
      <c r="B14" s="19" t="inlineStr">
        <is>
          <t>DM01</t>
        </is>
      </c>
      <c r="C14" s="8">
        <f>Taxonomy!B14</f>
        <v/>
      </c>
      <c r="D14" s="8">
        <f>Taxonomy!D14</f>
        <v/>
      </c>
      <c r="E14" s="6" t="n"/>
      <c r="F14" s="6" t="n"/>
      <c r="G14" s="8">
        <f>Taxonomy!J14</f>
        <v/>
      </c>
      <c r="H14" s="6" t="n"/>
      <c r="I14" s="8">
        <f>Taxonomy!K14</f>
        <v/>
      </c>
      <c r="J14" s="25">
        <f>IF(COUNT(E14,F14,H14)&lt;3,"",ROUND(E14*Rubric!$C$5+F14*Rubric!$C$6+G14*Rubric!$C$7+H14*Rubric!$C$8+I14*Rubric!$C$9+0.000000001,1))</f>
        <v/>
      </c>
      <c r="K14" s="19">
        <f>IF(J14="","",IF(J14&gt;=Rubric!$C$13,"High",IF(J14&gt;=Rubric!$C$14,"Medium","Low")))</f>
        <v/>
      </c>
      <c r="L14" s="19">
        <f>IF(M14=0,"Low",IF(AND(M14&gt;=3,N14&gt;=2,O14&gt;=1),"High","Medium"))</f>
        <v/>
      </c>
      <c r="M14" s="19">
        <f>COUNTIFS(NBSAP_Mapping!$D$5:$D$304,B14,NBSAP_Mapping!$C$5:$C$304,"&lt;&gt;External driver",NBSAP_Mapping!$C$5:$C$304,"&lt;&gt;")</f>
        <v/>
      </c>
      <c r="N14" s="19">
        <f>SUMIFS(NBSAP_Mapping!$I$5:$I$304,NBSAP_Mapping!$D$5:$D$304,B14)</f>
        <v/>
      </c>
      <c r="O14" s="19">
        <f>COUNTIFS(NBSAP_Mapping!$D$5:$D$304,B14,NBSAP_Mapping!$C$5:$C$304,"&lt;&gt;External driver",NBSAP_Mapping!$C$5:$C$304,"&lt;&gt;",NBSAP_Mapping!$G$5:$G$304,"Direct")</f>
        <v/>
      </c>
      <c r="P14" s="6" t="n"/>
      <c r="Q14" s="6" t="n"/>
      <c r="R14" s="6" t="n"/>
      <c r="S14" s="26">
        <f>IF(J14="",0,J14*10000+E14*100+F14*10+MIN(M14,9))-ROW()/100000</f>
        <v/>
      </c>
      <c r="T14" s="6" t="n"/>
      <c r="U14" s="6" t="n"/>
    </row>
    <row r="15">
      <c r="A15" s="19">
        <f>RANK(S15,$S$5:$S$19)</f>
        <v/>
      </c>
      <c r="B15" s="19" t="inlineStr">
        <is>
          <t>DM02</t>
        </is>
      </c>
      <c r="C15" s="8">
        <f>Taxonomy!B15</f>
        <v/>
      </c>
      <c r="D15" s="8">
        <f>Taxonomy!D15</f>
        <v/>
      </c>
      <c r="E15" s="6" t="n"/>
      <c r="F15" s="6" t="n"/>
      <c r="G15" s="8">
        <f>Taxonomy!J15</f>
        <v/>
      </c>
      <c r="H15" s="6" t="n"/>
      <c r="I15" s="8">
        <f>Taxonomy!K15</f>
        <v/>
      </c>
      <c r="J15" s="25">
        <f>IF(COUNT(E15,F15,H15)&lt;3,"",ROUND(E15*Rubric!$C$5+F15*Rubric!$C$6+G15*Rubric!$C$7+H15*Rubric!$C$8+I15*Rubric!$C$9+0.000000001,1))</f>
        <v/>
      </c>
      <c r="K15" s="19">
        <f>IF(J15="","",IF(J15&gt;=Rubric!$C$13,"High",IF(J15&gt;=Rubric!$C$14,"Medium","Low")))</f>
        <v/>
      </c>
      <c r="L15" s="19">
        <f>IF(M15=0,"Low",IF(AND(M15&gt;=3,N15&gt;=2,O15&gt;=1),"High","Medium"))</f>
        <v/>
      </c>
      <c r="M15" s="19">
        <f>COUNTIFS(NBSAP_Mapping!$D$5:$D$304,B15,NBSAP_Mapping!$C$5:$C$304,"&lt;&gt;External driver",NBSAP_Mapping!$C$5:$C$304,"&lt;&gt;")</f>
        <v/>
      </c>
      <c r="N15" s="19">
        <f>SUMIFS(NBSAP_Mapping!$I$5:$I$304,NBSAP_Mapping!$D$5:$D$304,B15)</f>
        <v/>
      </c>
      <c r="O15" s="19">
        <f>COUNTIFS(NBSAP_Mapping!$D$5:$D$304,B15,NBSAP_Mapping!$C$5:$C$304,"&lt;&gt;External driver",NBSAP_Mapping!$C$5:$C$304,"&lt;&gt;",NBSAP_Mapping!$G$5:$G$304,"Direct")</f>
        <v/>
      </c>
      <c r="P15" s="6" t="n"/>
      <c r="Q15" s="6" t="n"/>
      <c r="R15" s="6" t="n"/>
      <c r="S15" s="26">
        <f>IF(J15="",0,J15*10000+E15*100+F15*10+MIN(M15,9))-ROW()/100000</f>
        <v/>
      </c>
      <c r="T15" s="6" t="n"/>
      <c r="U15" s="6" t="n"/>
    </row>
    <row r="16">
      <c r="A16" s="19">
        <f>RANK(S16,$S$5:$S$19)</f>
        <v/>
      </c>
      <c r="B16" s="19" t="inlineStr">
        <is>
          <t>DM03</t>
        </is>
      </c>
      <c r="C16" s="8">
        <f>Taxonomy!B16</f>
        <v/>
      </c>
      <c r="D16" s="8">
        <f>Taxonomy!D16</f>
        <v/>
      </c>
      <c r="E16" s="6" t="n"/>
      <c r="F16" s="6" t="n"/>
      <c r="G16" s="8">
        <f>Taxonomy!J16</f>
        <v/>
      </c>
      <c r="H16" s="6" t="n"/>
      <c r="I16" s="8">
        <f>Taxonomy!K16</f>
        <v/>
      </c>
      <c r="J16" s="25">
        <f>IF(COUNT(E16,F16,H16)&lt;3,"",ROUND(E16*Rubric!$C$5+F16*Rubric!$C$6+G16*Rubric!$C$7+H16*Rubric!$C$8+I16*Rubric!$C$9+0.000000001,1))</f>
        <v/>
      </c>
      <c r="K16" s="19">
        <f>IF(J16="","",IF(J16&gt;=Rubric!$C$13,"High",IF(J16&gt;=Rubric!$C$14,"Medium","Low")))</f>
        <v/>
      </c>
      <c r="L16" s="19">
        <f>IF(M16=0,"Low",IF(AND(M16&gt;=3,N16&gt;=2,O16&gt;=1),"High","Medium"))</f>
        <v/>
      </c>
      <c r="M16" s="19">
        <f>COUNTIFS(NBSAP_Mapping!$D$5:$D$304,B16,NBSAP_Mapping!$C$5:$C$304,"&lt;&gt;External driver",NBSAP_Mapping!$C$5:$C$304,"&lt;&gt;")</f>
        <v/>
      </c>
      <c r="N16" s="19">
        <f>SUMIFS(NBSAP_Mapping!$I$5:$I$304,NBSAP_Mapping!$D$5:$D$304,B16)</f>
        <v/>
      </c>
      <c r="O16" s="19">
        <f>COUNTIFS(NBSAP_Mapping!$D$5:$D$304,B16,NBSAP_Mapping!$C$5:$C$304,"&lt;&gt;External driver",NBSAP_Mapping!$C$5:$C$304,"&lt;&gt;",NBSAP_Mapping!$G$5:$G$304,"Direct")</f>
        <v/>
      </c>
      <c r="P16" s="6" t="n"/>
      <c r="Q16" s="6" t="n"/>
      <c r="R16" s="6" t="n"/>
      <c r="S16" s="26">
        <f>IF(J16="",0,J16*10000+E16*100+F16*10+MIN(M16,9))-ROW()/100000</f>
        <v/>
      </c>
      <c r="T16" s="6" t="n"/>
      <c r="U16" s="6" t="n"/>
    </row>
    <row r="17">
      <c r="A17" s="19">
        <f>RANK(S17,$S$5:$S$19)</f>
        <v/>
      </c>
      <c r="B17" s="19" t="inlineStr">
        <is>
          <t>P01</t>
        </is>
      </c>
      <c r="C17" s="8">
        <f>Taxonomy!B17</f>
        <v/>
      </c>
      <c r="D17" s="8">
        <f>Taxonomy!D17</f>
        <v/>
      </c>
      <c r="E17" s="6" t="n"/>
      <c r="F17" s="6" t="n"/>
      <c r="G17" s="8">
        <f>Taxonomy!J17</f>
        <v/>
      </c>
      <c r="H17" s="6" t="n"/>
      <c r="I17" s="8">
        <f>Taxonomy!K17</f>
        <v/>
      </c>
      <c r="J17" s="25">
        <f>IF(COUNT(E17,F17,H17)&lt;3,"",ROUND(E17*Rubric!$C$5+F17*Rubric!$C$6+G17*Rubric!$C$7+H17*Rubric!$C$8+I17*Rubric!$C$9+0.000000001,1))</f>
        <v/>
      </c>
      <c r="K17" s="19">
        <f>IF(J17="","",IF(J17&gt;=Rubric!$C$13,"High",IF(J17&gt;=Rubric!$C$14,"Medium","Low")))</f>
        <v/>
      </c>
      <c r="L17" s="19">
        <f>IF(M17=0,"Low",IF(AND(M17&gt;=3,N17&gt;=2,O17&gt;=1),"High","Medium"))</f>
        <v/>
      </c>
      <c r="M17" s="19">
        <f>COUNTIFS(NBSAP_Mapping!$D$5:$D$304,B17,NBSAP_Mapping!$C$5:$C$304,"&lt;&gt;External driver",NBSAP_Mapping!$C$5:$C$304,"&lt;&gt;")</f>
        <v/>
      </c>
      <c r="N17" s="19">
        <f>SUMIFS(NBSAP_Mapping!$I$5:$I$304,NBSAP_Mapping!$D$5:$D$304,B17)</f>
        <v/>
      </c>
      <c r="O17" s="19">
        <f>COUNTIFS(NBSAP_Mapping!$D$5:$D$304,B17,NBSAP_Mapping!$C$5:$C$304,"&lt;&gt;External driver",NBSAP_Mapping!$C$5:$C$304,"&lt;&gt;",NBSAP_Mapping!$G$5:$G$304,"Direct")</f>
        <v/>
      </c>
      <c r="P17" s="6" t="n"/>
      <c r="Q17" s="6" t="n"/>
      <c r="R17" s="6" t="n"/>
      <c r="S17" s="26">
        <f>IF(J17="",0,J17*10000+E17*100+F17*10+MIN(M17,9))-ROW()/100000</f>
        <v/>
      </c>
      <c r="T17" s="6" t="n"/>
      <c r="U17" s="6" t="n"/>
    </row>
    <row r="18">
      <c r="A18" s="19">
        <f>RANK(S18,$S$5:$S$19)</f>
        <v/>
      </c>
      <c r="B18" s="19" t="inlineStr">
        <is>
          <t>P02</t>
        </is>
      </c>
      <c r="C18" s="8">
        <f>Taxonomy!B18</f>
        <v/>
      </c>
      <c r="D18" s="8">
        <f>Taxonomy!D18</f>
        <v/>
      </c>
      <c r="E18" s="6" t="n"/>
      <c r="F18" s="6" t="n"/>
      <c r="G18" s="8">
        <f>Taxonomy!J18</f>
        <v/>
      </c>
      <c r="H18" s="6" t="n"/>
      <c r="I18" s="8">
        <f>Taxonomy!K18</f>
        <v/>
      </c>
      <c r="J18" s="25">
        <f>IF(COUNT(E18,F18,H18)&lt;3,"",ROUND(E18*Rubric!$C$5+F18*Rubric!$C$6+G18*Rubric!$C$7+H18*Rubric!$C$8+I18*Rubric!$C$9+0.000000001,1))</f>
        <v/>
      </c>
      <c r="K18" s="19">
        <f>IF(J18="","",IF(J18&gt;=Rubric!$C$13,"High",IF(J18&gt;=Rubric!$C$14,"Medium","Low")))</f>
        <v/>
      </c>
      <c r="L18" s="19">
        <f>IF(M18=0,"Low",IF(AND(M18&gt;=3,N18&gt;=2,O18&gt;=1),"High","Medium"))</f>
        <v/>
      </c>
      <c r="M18" s="19">
        <f>COUNTIFS(NBSAP_Mapping!$D$5:$D$304,B18,NBSAP_Mapping!$C$5:$C$304,"&lt;&gt;External driver",NBSAP_Mapping!$C$5:$C$304,"&lt;&gt;")</f>
        <v/>
      </c>
      <c r="N18" s="19">
        <f>SUMIFS(NBSAP_Mapping!$I$5:$I$304,NBSAP_Mapping!$D$5:$D$304,B18)</f>
        <v/>
      </c>
      <c r="O18" s="19">
        <f>COUNTIFS(NBSAP_Mapping!$D$5:$D$304,B18,NBSAP_Mapping!$C$5:$C$304,"&lt;&gt;External driver",NBSAP_Mapping!$C$5:$C$304,"&lt;&gt;",NBSAP_Mapping!$G$5:$G$304,"Direct")</f>
        <v/>
      </c>
      <c r="P18" s="6" t="n"/>
      <c r="Q18" s="6" t="n"/>
      <c r="R18" s="6" t="n"/>
      <c r="S18" s="26">
        <f>IF(J18="",0,J18*10000+E18*100+F18*10+MIN(M18,9))-ROW()/100000</f>
        <v/>
      </c>
      <c r="T18" s="6" t="n"/>
      <c r="U18" s="6" t="n"/>
    </row>
    <row r="19">
      <c r="A19" s="19">
        <f>RANK(S19,$S$5:$S$19)</f>
        <v/>
      </c>
      <c r="B19" s="19" t="inlineStr">
        <is>
          <t>P03</t>
        </is>
      </c>
      <c r="C19" s="8">
        <f>Taxonomy!B19</f>
        <v/>
      </c>
      <c r="D19" s="8">
        <f>Taxonomy!D19</f>
        <v/>
      </c>
      <c r="E19" s="6" t="n"/>
      <c r="F19" s="6" t="n"/>
      <c r="G19" s="8">
        <f>Taxonomy!J19</f>
        <v/>
      </c>
      <c r="H19" s="6" t="n"/>
      <c r="I19" s="8">
        <f>Taxonomy!K19</f>
        <v/>
      </c>
      <c r="J19" s="25">
        <f>IF(COUNT(E19,F19,H19)&lt;3,"",ROUND(E19*Rubric!$C$5+F19*Rubric!$C$6+G19*Rubric!$C$7+H19*Rubric!$C$8+I19*Rubric!$C$9+0.000000001,1))</f>
        <v/>
      </c>
      <c r="K19" s="19">
        <f>IF(J19="","",IF(J19&gt;=Rubric!$C$13,"High",IF(J19&gt;=Rubric!$C$14,"Medium","Low")))</f>
        <v/>
      </c>
      <c r="L19" s="19">
        <f>IF(M19=0,"Low",IF(AND(M19&gt;=3,N19&gt;=2,O19&gt;=1),"High","Medium"))</f>
        <v/>
      </c>
      <c r="M19" s="19">
        <f>COUNTIFS(NBSAP_Mapping!$D$5:$D$304,B19,NBSAP_Mapping!$C$5:$C$304,"&lt;&gt;External driver",NBSAP_Mapping!$C$5:$C$304,"&lt;&gt;")</f>
        <v/>
      </c>
      <c r="N19" s="19">
        <f>SUMIFS(NBSAP_Mapping!$I$5:$I$304,NBSAP_Mapping!$D$5:$D$304,B19)</f>
        <v/>
      </c>
      <c r="O19" s="19">
        <f>COUNTIFS(NBSAP_Mapping!$D$5:$D$304,B19,NBSAP_Mapping!$C$5:$C$304,"&lt;&gt;External driver",NBSAP_Mapping!$C$5:$C$304,"&lt;&gt;",NBSAP_Mapping!$G$5:$G$304,"Direct")</f>
        <v/>
      </c>
      <c r="P19" s="6" t="n"/>
      <c r="Q19" s="6" t="n"/>
      <c r="R19" s="6" t="n"/>
      <c r="S19" s="26">
        <f>IF(J19="",0,J19*10000+E19*100+F19*10+MIN(M19,9))-ROW()/100000</f>
        <v/>
      </c>
      <c r="T19" s="6" t="n"/>
      <c r="U19" s="6" t="n"/>
    </row>
  </sheetData>
  <dataValidations count="3">
    <dataValidation sqref="E5:E19" showDropDown="0" showInputMessage="0" showErrorMessage="0" allowBlank="0" type="whole" operator="between">
      <formula1>1</formula1>
      <formula2>5</formula2>
    </dataValidation>
    <dataValidation sqref="F5:F19" showDropDown="0" showInputMessage="0" showErrorMessage="0" allowBlank="0" type="whole" operator="between">
      <formula1>1</formula1>
      <formula2>5</formula2>
    </dataValidation>
    <dataValidation sqref="H5:H19" showDropDown="0" showInputMessage="0" showErrorMessage="0" allowBlank="0" type="whole" operator="between">
      <formula1>1</formula1>
      <formula2>5</formula2>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56"/>
  <sheetViews>
    <sheetView workbookViewId="0">
      <pane ySplit="4" topLeftCell="A5" activePane="bottomLeft" state="frozen"/>
      <selection pane="bottomLeft" activeCell="A1" sqref="A1"/>
    </sheetView>
  </sheetViews>
  <sheetFormatPr baseColWidth="8" defaultRowHeight="15"/>
  <cols>
    <col width="22" customWidth="1" min="1" max="1"/>
    <col width="95" customWidth="1" min="2" max="2"/>
    <col width="50" customWidth="1" min="3" max="3"/>
  </cols>
  <sheetData>
    <row r="1">
      <c r="A1" s="1" t="inlineStr">
        <is>
          <t>Slide content (read by build_deck.py)</t>
        </is>
      </c>
    </row>
    <row r="2">
      <c r="A2" s="10" t="inlineStr">
        <is>
          <t>Paste Copilot Step 7 output here (Key | Value). build_deck.py reads this tab plus the Scoring tab to build the EY deck.</t>
        </is>
      </c>
    </row>
    <row r="4">
      <c r="A4" s="4" t="inlineStr">
        <is>
          <t>Key</t>
        </is>
      </c>
      <c r="B4" s="4" t="inlineStr">
        <is>
          <t>Value</t>
        </is>
      </c>
      <c r="C4" s="4" t="inlineStr">
        <is>
          <t>Guidance</t>
        </is>
      </c>
    </row>
    <row r="5">
      <c r="A5" s="5" t="inlineStr">
        <is>
          <t>cover_title</t>
        </is>
      </c>
      <c r="B5" s="6" t="n"/>
      <c r="C5" s="7" t="inlineStr">
        <is>
          <t>Deck title, 8–12 words</t>
        </is>
      </c>
    </row>
    <row r="6">
      <c r="A6" s="5" t="inlineStr">
        <is>
          <t>cover_date</t>
        </is>
      </c>
      <c r="B6" s="6" t="n"/>
      <c r="C6" s="7" t="inlineStr">
        <is>
          <t>e.g. 7th October 2026</t>
        </is>
      </c>
    </row>
    <row r="7">
      <c r="A7" s="5" t="inlineStr">
        <is>
          <t>client_name</t>
        </is>
      </c>
      <c r="B7" s="6" t="n"/>
      <c r="C7" s="7" t="inlineStr">
        <is>
          <t>Short client name used on every slide line</t>
        </is>
      </c>
    </row>
    <row r="8">
      <c r="A8" s="5" t="inlineStr">
        <is>
          <t>s1_title</t>
        </is>
      </c>
      <c r="B8" s="6" t="n"/>
      <c r="C8" s="7" t="inlineStr">
        <is>
          <t>Action title ≤75 characters</t>
        </is>
      </c>
    </row>
    <row r="9">
      <c r="A9" s="5" t="inlineStr">
        <is>
          <t>s1_section</t>
        </is>
      </c>
      <c r="B9" s="6" t="n"/>
      <c r="C9" s="7" t="inlineStr">
        <is>
          <t>Executive summary</t>
        </is>
      </c>
    </row>
    <row r="10">
      <c r="A10" s="5" t="inlineStr">
        <is>
          <t>s1_stat1_value</t>
        </is>
      </c>
      <c r="B10" s="6" t="n"/>
      <c r="C10" s="7" t="inlineStr">
        <is>
          <t>e.g. £60.0bn</t>
        </is>
      </c>
    </row>
    <row r="11">
      <c r="A11" s="5" t="inlineStr">
        <is>
          <t>s1_stat1_label</t>
        </is>
      </c>
      <c r="B11" s="6" t="n"/>
      <c r="C11" s="7" t="inlineStr">
        <is>
          <t>≤12 words</t>
        </is>
      </c>
    </row>
    <row r="12">
      <c r="A12" s="5" t="inlineStr">
        <is>
          <t>s1_stat2_value</t>
        </is>
      </c>
      <c r="B12" s="6" t="n"/>
      <c r="C12" s="7" t="inlineStr">
        <is>
          <t>e.g. 4 of 15</t>
        </is>
      </c>
    </row>
    <row r="13">
      <c r="A13" s="5" t="inlineStr">
        <is>
          <t>s1_stat2_label</t>
        </is>
      </c>
      <c r="B13" s="6" t="n"/>
      <c r="C13" s="7" t="inlineStr">
        <is>
          <t>≤12 words</t>
        </is>
      </c>
    </row>
    <row r="14">
      <c r="A14" s="5" t="inlineStr">
        <is>
          <t>s1_stat3_value</t>
        </is>
      </c>
      <c r="B14" s="6" t="n"/>
      <c r="C14" s="7" t="inlineStr">
        <is>
          <t>e.g. £70.9bn</t>
        </is>
      </c>
    </row>
    <row r="15">
      <c r="A15" s="5" t="inlineStr">
        <is>
          <t>s1_stat3_label</t>
        </is>
      </c>
      <c r="B15" s="6" t="n"/>
      <c r="C15" s="7" t="inlineStr">
        <is>
          <t>≤12 words</t>
        </is>
      </c>
    </row>
    <row r="16">
      <c r="A16" s="5" t="inlineStr">
        <is>
          <t>s1_context</t>
        </is>
      </c>
      <c r="B16" s="6" t="n"/>
      <c r="C16" s="7" t="inlineStr">
        <is>
          <t>1 sentence</t>
        </is>
      </c>
    </row>
    <row r="17">
      <c r="A17" s="5" t="inlineStr">
        <is>
          <t>s1_finding1</t>
        </is>
      </c>
      <c r="B17" s="6" t="n"/>
      <c r="C17" s="7" t="inlineStr">
        <is>
          <t>Exposure finding, ≤30 words</t>
        </is>
      </c>
    </row>
    <row r="18">
      <c r="A18" s="5" t="inlineStr">
        <is>
          <t>s1_finding2</t>
        </is>
      </c>
      <c r="B18" s="6" t="n"/>
      <c r="C18" s="7" t="inlineStr">
        <is>
          <t>Action finding, ≤30 words</t>
        </is>
      </c>
    </row>
    <row r="19">
      <c r="A19" s="5" t="inlineStr">
        <is>
          <t>s1_finding3</t>
        </is>
      </c>
      <c r="B19" s="6" t="n"/>
      <c r="C19" s="7" t="inlineStr">
        <is>
          <t>Gap finding, ≤30 words</t>
        </is>
      </c>
    </row>
    <row r="20">
      <c r="A20" s="5" t="inlineStr">
        <is>
          <t>s1_priorities</t>
        </is>
      </c>
      <c r="B20" s="6" t="n"/>
      <c r="C20" s="7" t="inlineStr">
        <is>
          <t>High sub-themes with scores, 1 sentence</t>
        </is>
      </c>
    </row>
    <row r="21">
      <c r="A21" s="5" t="inlineStr">
        <is>
          <t>s1_implication</t>
        </is>
      </c>
      <c r="B21" s="6" t="n"/>
      <c r="C21" s="7" t="inlineStr">
        <is>
          <t>1 sentence</t>
        </is>
      </c>
    </row>
    <row r="22">
      <c r="A22" s="5" t="inlineStr">
        <is>
          <t>s1_footnote</t>
        </is>
      </c>
      <c r="B22" s="6" t="n"/>
      <c r="C22" s="7" t="inlineStr">
        <is>
          <t>1 line</t>
        </is>
      </c>
    </row>
    <row r="23">
      <c r="A23" s="5" t="inlineStr">
        <is>
          <t>s1_notes</t>
        </is>
      </c>
      <c r="B23" s="6" t="n"/>
      <c r="C23" s="7" t="inlineStr">
        <is>
          <t>Sources, one per line</t>
        </is>
      </c>
    </row>
    <row r="24">
      <c r="A24" s="5" t="inlineStr">
        <is>
          <t>s2_title</t>
        </is>
      </c>
      <c r="B24" s="6" t="n"/>
      <c r="C24" s="7" t="inlineStr">
        <is>
          <t>Action title ≤75 characters</t>
        </is>
      </c>
    </row>
    <row r="25">
      <c r="A25" s="5" t="inlineStr">
        <is>
          <t>s2_section</t>
        </is>
      </c>
      <c r="B25" s="6" t="n"/>
      <c r="C25" s="7" t="inlineStr">
        <is>
          <t>Nature priorities ranked by score</t>
        </is>
      </c>
    </row>
    <row r="26">
      <c r="A26" s="5" t="inlineStr">
        <is>
          <t>s2_low_note</t>
        </is>
      </c>
      <c r="B26" s="6" t="n"/>
      <c r="C26" s="7" t="inlineStr">
        <is>
          <t>1 sentence shown after the Low list</t>
        </is>
      </c>
    </row>
    <row r="27">
      <c r="A27" s="5" t="inlineStr">
        <is>
          <t>s2_footnote</t>
        </is>
      </c>
      <c r="B27" s="6" t="n"/>
      <c r="C27" s="7" t="inlineStr">
        <is>
          <t>Weights and data caveats, ≤2 lines</t>
        </is>
      </c>
    </row>
    <row r="28">
      <c r="A28" s="5" t="inlineStr">
        <is>
          <t>s2_notes</t>
        </is>
      </c>
      <c r="B28" s="6" t="n"/>
      <c r="C28" s="7" t="inlineStr">
        <is>
          <t>Sources, one per line</t>
        </is>
      </c>
    </row>
    <row r="29">
      <c r="A29" s="5" t="inlineStr">
        <is>
          <t>s3_title</t>
        </is>
      </c>
      <c r="B29" s="6" t="n"/>
      <c r="C29" s="7" t="inlineStr">
        <is>
          <t>Action title ≤75 characters</t>
        </is>
      </c>
    </row>
    <row r="30">
      <c r="A30" s="5" t="inlineStr">
        <is>
          <t>s3_section</t>
        </is>
      </c>
      <c r="B30" s="6" t="n"/>
      <c r="C30" s="7" t="inlineStr">
        <is>
          <t>How EY can assist</t>
        </is>
      </c>
    </row>
    <row r="31">
      <c r="A31" s="5" t="inlineStr">
        <is>
          <t>s3_card1_title</t>
        </is>
      </c>
      <c r="B31" s="6" t="n"/>
      <c r="C31" s="7" t="inlineStr">
        <is>
          <t>≤5 words</t>
        </is>
      </c>
    </row>
    <row r="32">
      <c r="A32" s="5" t="inlineStr">
        <is>
          <t>s3_card1_score</t>
        </is>
      </c>
      <c r="B32" s="6" t="n"/>
      <c r="C32" s="7" t="inlineStr">
        <is>
          <t>e.g. 4.5</t>
        </is>
      </c>
    </row>
    <row r="33">
      <c r="A33" s="5" t="inlineStr">
        <is>
          <t>s3_card1_evidence</t>
        </is>
      </c>
      <c r="B33" s="6" t="n"/>
      <c r="C33" s="7" t="inlineStr">
        <is>
          <t>≤20 words</t>
        </is>
      </c>
    </row>
    <row r="34">
      <c r="A34" s="5" t="inlineStr">
        <is>
          <t>s3_card1_support</t>
        </is>
      </c>
      <c r="B34" s="6" t="n"/>
      <c r="C34" s="7" t="inlineStr">
        <is>
          <t>≤20 words</t>
        </is>
      </c>
    </row>
    <row r="35">
      <c r="A35" s="5" t="inlineStr">
        <is>
          <t>s3_card1_output</t>
        </is>
      </c>
      <c r="B35" s="6" t="n"/>
      <c r="C35" s="7" t="inlineStr">
        <is>
          <t>≤10 words</t>
        </is>
      </c>
    </row>
    <row r="36">
      <c r="A36" s="5" t="inlineStr">
        <is>
          <t>s3_card2_title</t>
        </is>
      </c>
      <c r="B36" s="6" t="n"/>
      <c r="C36" s="7" t="inlineStr">
        <is>
          <t>≤5 words</t>
        </is>
      </c>
    </row>
    <row r="37">
      <c r="A37" s="5" t="inlineStr">
        <is>
          <t>s3_card2_score</t>
        </is>
      </c>
      <c r="B37" s="6" t="n"/>
      <c r="C37" s="7" t="inlineStr">
        <is>
          <t>e.g. 4.5</t>
        </is>
      </c>
    </row>
    <row r="38">
      <c r="A38" s="5" t="inlineStr">
        <is>
          <t>s3_card2_evidence</t>
        </is>
      </c>
      <c r="B38" s="6" t="n"/>
      <c r="C38" s="7" t="inlineStr">
        <is>
          <t>≤20 words</t>
        </is>
      </c>
    </row>
    <row r="39">
      <c r="A39" s="5" t="inlineStr">
        <is>
          <t>s3_card2_support</t>
        </is>
      </c>
      <c r="B39" s="6" t="n"/>
      <c r="C39" s="7" t="inlineStr">
        <is>
          <t>≤20 words</t>
        </is>
      </c>
    </row>
    <row r="40">
      <c r="A40" s="5" t="inlineStr">
        <is>
          <t>s3_card2_output</t>
        </is>
      </c>
      <c r="B40" s="6" t="n"/>
      <c r="C40" s="7" t="inlineStr">
        <is>
          <t>≤10 words</t>
        </is>
      </c>
    </row>
    <row r="41">
      <c r="A41" s="5" t="inlineStr">
        <is>
          <t>s3_card3_title</t>
        </is>
      </c>
      <c r="B41" s="6" t="n"/>
      <c r="C41" s="7" t="inlineStr">
        <is>
          <t>≤5 words</t>
        </is>
      </c>
    </row>
    <row r="42">
      <c r="A42" s="5" t="inlineStr">
        <is>
          <t>s3_card3_score</t>
        </is>
      </c>
      <c r="B42" s="6" t="n"/>
      <c r="C42" s="7" t="inlineStr">
        <is>
          <t>e.g. 4.5</t>
        </is>
      </c>
    </row>
    <row r="43">
      <c r="A43" s="5" t="inlineStr">
        <is>
          <t>s3_card3_evidence</t>
        </is>
      </c>
      <c r="B43" s="6" t="n"/>
      <c r="C43" s="7" t="inlineStr">
        <is>
          <t>≤20 words</t>
        </is>
      </c>
    </row>
    <row r="44">
      <c r="A44" s="5" t="inlineStr">
        <is>
          <t>s3_card3_support</t>
        </is>
      </c>
      <c r="B44" s="6" t="n"/>
      <c r="C44" s="7" t="inlineStr">
        <is>
          <t>≤20 words</t>
        </is>
      </c>
    </row>
    <row r="45">
      <c r="A45" s="5" t="inlineStr">
        <is>
          <t>s3_card3_output</t>
        </is>
      </c>
      <c r="B45" s="6" t="n"/>
      <c r="C45" s="7" t="inlineStr">
        <is>
          <t>≤10 words</t>
        </is>
      </c>
    </row>
    <row r="46">
      <c r="A46" s="5" t="inlineStr">
        <is>
          <t>s3_card4_title</t>
        </is>
      </c>
      <c r="B46" s="6" t="n"/>
      <c r="C46" s="7" t="inlineStr">
        <is>
          <t>≤5 words</t>
        </is>
      </c>
    </row>
    <row r="47">
      <c r="A47" s="5" t="inlineStr">
        <is>
          <t>s3_card4_score</t>
        </is>
      </c>
      <c r="B47" s="6" t="n"/>
      <c r="C47" s="7" t="inlineStr">
        <is>
          <t>e.g. 4.5</t>
        </is>
      </c>
    </row>
    <row r="48">
      <c r="A48" s="5" t="inlineStr">
        <is>
          <t>s3_card4_evidence</t>
        </is>
      </c>
      <c r="B48" s="6" t="n"/>
      <c r="C48" s="7" t="inlineStr">
        <is>
          <t>≤20 words</t>
        </is>
      </c>
    </row>
    <row r="49">
      <c r="A49" s="5" t="inlineStr">
        <is>
          <t>s3_card4_support</t>
        </is>
      </c>
      <c r="B49" s="6" t="n"/>
      <c r="C49" s="7" t="inlineStr">
        <is>
          <t>≤20 words</t>
        </is>
      </c>
    </row>
    <row r="50">
      <c r="A50" s="5" t="inlineStr">
        <is>
          <t>s3_card4_output</t>
        </is>
      </c>
      <c r="B50" s="6" t="n"/>
      <c r="C50" s="7" t="inlineStr">
        <is>
          <t>≤10 words</t>
        </is>
      </c>
    </row>
    <row r="51">
      <c r="A51" s="5" t="inlineStr">
        <is>
          <t>s3_crosscutting</t>
        </is>
      </c>
      <c r="B51" s="6" t="n"/>
      <c r="C51" s="7" t="inlineStr">
        <is>
          <t>1 sentence</t>
        </is>
      </c>
    </row>
    <row r="52">
      <c r="A52" s="5" t="inlineStr">
        <is>
          <t>s3_next1</t>
        </is>
      </c>
      <c r="B52" s="6" t="n"/>
      <c r="C52" s="7" t="inlineStr">
        <is>
          <t>≤12 words</t>
        </is>
      </c>
    </row>
    <row r="53">
      <c r="A53" s="5" t="inlineStr">
        <is>
          <t>s3_next2</t>
        </is>
      </c>
      <c r="B53" s="6" t="n"/>
      <c r="C53" s="7" t="inlineStr">
        <is>
          <t>≤12 words</t>
        </is>
      </c>
    </row>
    <row r="54">
      <c r="A54" s="5" t="inlineStr">
        <is>
          <t>s3_next3</t>
        </is>
      </c>
      <c r="B54" s="6" t="n"/>
      <c r="C54" s="7" t="inlineStr">
        <is>
          <t>≤12 words</t>
        </is>
      </c>
    </row>
    <row r="55">
      <c r="A55" s="5" t="inlineStr">
        <is>
          <t>s3_footnote</t>
        </is>
      </c>
      <c r="B55" s="6" t="n"/>
      <c r="C55" s="7" t="inlineStr">
        <is>
          <t>1 line</t>
        </is>
      </c>
    </row>
    <row r="56">
      <c r="A56" s="5" t="inlineStr">
        <is>
          <t>s3_notes</t>
        </is>
      </c>
      <c r="B56" s="6" t="n"/>
      <c r="C56" s="7" t="inlineStr">
        <is>
          <t>Sources, one per line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3"/>
  <sheetViews>
    <sheetView workbookViewId="0">
      <pane ySplit="4" topLeftCell="A5" activePane="bottomLeft" state="frozen"/>
      <selection pane="bottomLeft" activeCell="A1" sqref="A1"/>
    </sheetView>
  </sheetViews>
  <sheetFormatPr baseColWidth="8" defaultRowHeight="15"/>
  <cols>
    <col width="4" customWidth="1" min="1" max="1"/>
    <col width="70" customWidth="1" min="2" max="2"/>
    <col width="30" customWidth="1" min="3" max="3"/>
  </cols>
  <sheetData>
    <row r="1">
      <c r="A1" s="1" t="inlineStr">
        <is>
          <t>Quality checks</t>
        </is>
      </c>
    </row>
    <row r="4">
      <c r="A4" s="4" t="inlineStr">
        <is>
          <t>#</t>
        </is>
      </c>
      <c r="B4" s="4" t="inlineStr">
        <is>
          <t>Check</t>
        </is>
      </c>
      <c r="C4" s="4" t="inlineStr">
        <is>
          <t>Result</t>
        </is>
      </c>
    </row>
    <row r="5">
      <c r="A5" s="19" t="n">
        <v>1</v>
      </c>
      <c r="B5" s="19" t="inlineStr">
        <is>
          <t>Country_ID recognised</t>
        </is>
      </c>
      <c r="C5" s="19">
        <f>IF(ISNUMBER(MATCH(Inputs!B6,Countries!A:A,0)),"Pass","Fail")</f>
        <v/>
      </c>
    </row>
    <row r="6">
      <c r="A6" s="19" t="n">
        <v>2</v>
      </c>
      <c r="B6" s="19" t="inlineStr">
        <is>
          <t>Country has NBSAP commitments loaded</t>
        </is>
      </c>
      <c r="C6" s="19">
        <f>IF(SUM(Taxonomy!G5:G19)&gt;0,"Pass","Fail – load Market_Examples for this country")</f>
        <v/>
      </c>
    </row>
    <row r="7">
      <c r="A7" s="19" t="n">
        <v>3</v>
      </c>
      <c r="B7" s="19" t="inlineStr">
        <is>
          <t>All 15 sub-themes scored (C1, C2, C4 entered)</t>
        </is>
      </c>
      <c r="C7" s="19">
        <f>IF(COUNT(Scoring!J5:J19)=15,"Pass",15-COUNT(Scoring!J5:J19)&amp;" missing")</f>
        <v/>
      </c>
    </row>
    <row r="8">
      <c r="A8" s="19" t="n">
        <v>4</v>
      </c>
      <c r="B8" s="19" t="inlineStr">
        <is>
          <t>Weights total 100%</t>
        </is>
      </c>
      <c r="C8" s="19">
        <f>IF(ABS(Rubric!C10-1)&lt;0.0001,"Pass","Fail")</f>
        <v/>
      </c>
    </row>
    <row r="9">
      <c r="A9" s="19" t="n">
        <v>5</v>
      </c>
      <c r="B9" s="19" t="inlineStr">
        <is>
          <t>C2 cap respected (C2 ≤ 2 where C1 ≤ 2)</t>
        </is>
      </c>
      <c r="C9" s="19">
        <f>IF(SUMPRODUCT((Scoring!E5:E19&lt;&gt;"")*(Scoring!E5:E19&lt;=2)*(Scoring!F5:F19&gt;2))=0,"Pass","Fail")</f>
        <v/>
      </c>
    </row>
    <row r="10">
      <c r="A10" s="19" t="n">
        <v>6</v>
      </c>
      <c r="B10" s="19" t="inlineStr">
        <is>
          <t>Every evidence item mapped</t>
        </is>
      </c>
      <c r="C10" s="19">
        <f>IF(COUNTA(Evidence_Log!A5:A304)=COUNTA(NBSAP_Mapping!A5:A304),"Pass","Mismatch")</f>
        <v/>
      </c>
    </row>
    <row r="11">
      <c r="A11" s="19" t="n">
        <v>7</v>
      </c>
      <c r="B11" s="19" t="inlineStr">
        <is>
          <t>Every evidence item has source, page and quote</t>
        </is>
      </c>
      <c r="C11" s="19">
        <f>IF(SUMPRODUCT((Evidence_Log!A5:A304&lt;&gt;"")*((Evidence_Log!B5:B304="")+(Evidence_Log!C5:C304="")+(Evidence_Log!D5:D304="")))=0,"Pass","Fail")</f>
        <v/>
      </c>
    </row>
    <row r="12">
      <c r="A12" s="19" t="n">
        <v>8</v>
      </c>
      <c r="B12" s="19" t="inlineStr">
        <is>
          <t>Mapping IDs exist in taxonomy</t>
        </is>
      </c>
      <c r="C12" s="19">
        <f>IF(SUMPRODUCT((NBSAP_Mapping!D5:D304&lt;&gt;"")*(NBSAP_Mapping!D5:D304&lt;&gt;"XC")*ISNA(MATCH(NBSAP_Mapping!D5:D304,Taxonomy!C5:C19,0)))=0,"Pass","Fail")</f>
        <v/>
      </c>
    </row>
    <row r="13">
      <c r="A13" s="19" t="n">
        <v>9</v>
      </c>
      <c r="B13" s="19" t="inlineStr">
        <is>
          <t>EXAMPLE rows deleted</t>
        </is>
      </c>
      <c r="C13" s="19">
        <f>IF(COUNTIF(Evidence_Log!G:G,"EXAMPLE*")+COUNTIF(NBSAP_Mapping!H:H,"EXAMPLE*")+COUNTIF(Sources!I:I,"EXAMPLE*")+COUNTIF(Client_Exposure!I:I,"*EXAMPLE")=0,"Pass","Delete EXAMPLE rows")</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2026-10-07T20:23:07Z</dcterms:created>
  <dcterms:modified xmlns:dcterms="http://purl.org/dc/terms/" xmlns:xsi="http://www.w3.org/2001/XMLSchema-instance" xsi:type="dcterms:W3CDTF">2026-10-07T20:23:07Z</dcterms:modified>
</cp:coreProperties>
</file>