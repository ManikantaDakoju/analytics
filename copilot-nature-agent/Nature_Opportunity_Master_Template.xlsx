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Inputs" sheetId="2" state="visible" r:id="rId4"/>
    <sheet name="Countries" sheetId="3" state="visible" r:id="rId5"/>
    <sheet name="Sources" sheetId="4" state="visible" r:id="rId6"/>
    <sheet name="Client_Exposure" sheetId="5" state="visible" r:id="rId7"/>
    <sheet name="Sub_Markets" sheetId="6" state="visible" r:id="rId8"/>
    <sheet name="Taxonomy" sheetId="7" state="visible" r:id="rId9"/>
    <sheet name="NBSAP_Commitments" sheetId="8" state="visible" r:id="rId10"/>
    <sheet name="NBSAP_Targets" sheetId="9" state="visible" r:id="rId11"/>
    <sheet name="Evidence_Log" sheetId="10" state="visible" r:id="rId12"/>
    <sheet name="NBSAP_Mapping" sheetId="11" state="visible" r:id="rId13"/>
    <sheet name="Rubric" sheetId="12" state="visible" r:id="rId14"/>
    <sheet name="Scoring" sheetId="13" state="visible" r:id="rId15"/>
    <sheet name="Slide_Content" sheetId="14" state="visible" r:id="rId16"/>
    <sheet name="Deck_Tokens" sheetId="15" state="visible" r:id="rId17"/>
    <sheet name="Deck_Chart" sheetId="16" state="visible" r:id="rId18"/>
    <sheet name="QA_Log" sheetId="17" state="visible" r:id="rId1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<sst xmlns="http://schemas.openxmlformats.org/spreadsheetml/2006/main" count="2851" uniqueCount="1317">
  <si>
    <t xml:space="preserve">Nature Opportunity Master Template</t>
  </si>
  <si>
    <t xml:space="preserve">Purpose</t>
  </si>
  <si>
    <t xml:space="preserve">Reusable workbook for any client and any country in the EY NBSAP Nature Sizing workbook. Copilot (or an analyst) fills the blue input tabs; Excel calculates scores, tiers, ranks and confidence.</t>
  </si>
  <si>
    <t xml:space="preserve">How to start a new client</t>
  </si>
  <si>
    <t xml:space="preserve">1) Save a copy named &lt;Client&gt;_&lt;Country&gt;_Nature_Mapping.xlsx. 2) Inputs: set Client, Country_ID (e.g. GBR, FRA, CAN), sector, as-at date. 3) Refresh NBSAP_Commitments and Taxonomy from the latest EY NBSAP workbook if it has changed. 4) Paste Copilot outputs into Sources, Client_Exposure, Evidence_Log, NBSAP_Mapping and the blue columns of Scoring. 5) Check QA_Log is all Pass.</t>
  </si>
  <si>
    <t xml:space="preserve">What makes it country-agnostic</t>
  </si>
  <si>
    <t xml:space="preserve">NBSAP commitments are filtered by Inputs!Country_ID. Values use the USD column from the EY workbook. C5 (market opportunity) is scored on relative rank within the chosen country, so currency and economy size do not distort scores.</t>
  </si>
  <si>
    <t xml:space="preserve">Colour legend</t>
  </si>
  <si>
    <t xml:space="preserve">Blue text = input (paste or type). Black = formula. Green = pulled from another tab. Yellow fill = check before use. Rows marked EXAMPLE are illustrative – delete them.</t>
  </si>
  <si>
    <t xml:space="preserve">Tabs</t>
  </si>
  <si>
    <t xml:space="preserve">Inputs | Sources | Client_Exposure | Taxonomy | Sub_Markets | NBSAP_Commitments | NBSAP_Targets | Evidence_Log | NBSAP_Mapping | Rubric | Scoring | QA_Log</t>
  </si>
  <si>
    <t xml:space="preserve">Known data caveats</t>
  </si>
  <si>
    <t xml:space="preserve">EY NBSAP workbook: some Market_ID tags differ from the sub-market parent; this template always uses the sub-market parent. Commitment values are indicative (timeframes vary, some overlap). Only some countries have NBSAP_Target_Ref populated – complete NBSAP_Targets for the country you are running.</t>
  </si>
  <si>
    <t xml:space="preserve">Inputs</t>
  </si>
  <si>
    <t xml:space="preserve">Field</t>
  </si>
  <si>
    <t xml:space="preserve">Value</t>
  </si>
  <si>
    <t xml:space="preserve">Note</t>
  </si>
  <si>
    <t xml:space="preserve">Client</t>
  </si>
  <si>
    <t xml:space="preserve">[Client name]</t>
  </si>
  <si>
    <t xml:space="preserve">Full name and short name, e.g. Lloyds Banking Group (LBG)</t>
  </si>
  <si>
    <t xml:space="preserve">Country_ID</t>
  </si>
  <si>
    <t xml:space="preserve">GBR</t>
  </si>
  <si>
    <t xml:space="preserve">ISO-3 code from the Countries tab of the EY NBSAP workbook</t>
  </si>
  <si>
    <t xml:space="preserve">Country name</t>
  </si>
  <si>
    <t xml:space="preserve">Formula</t>
  </si>
  <si>
    <t xml:space="preserve">NBSAP document</t>
  </si>
  <si>
    <t xml:space="preserve">Sector</t>
  </si>
  <si>
    <t xml:space="preserve">[e.g. Banking and financial services]</t>
  </si>
  <si>
    <t xml:space="preserve">Audience</t>
  </si>
  <si>
    <t xml:space="preserve">Internal (EY partner)</t>
  </si>
  <si>
    <t xml:space="preserve">Internal or External</t>
  </si>
  <si>
    <t xml:space="preserve">As-at date</t>
  </si>
  <si>
    <t xml:space="preserve">[DD/MM/YYYY]</t>
  </si>
  <si>
    <t xml:space="preserve">Prepared by</t>
  </si>
  <si>
    <t xml:space="preserve">EY CCaSS</t>
  </si>
  <si>
    <t xml:space="preserve">No individual names in client outputs</t>
  </si>
  <si>
    <t xml:space="preserve">Countries (from EY NBSAP workbook)</t>
  </si>
  <si>
    <t xml:space="preserve">Country_Name</t>
  </si>
  <si>
    <t xml:space="preserve">Region</t>
  </si>
  <si>
    <t xml:space="preserve">NBSAP_Status</t>
  </si>
  <si>
    <t xml:space="preserve">NBSAP_Year</t>
  </si>
  <si>
    <t xml:space="preserve">United Kingdom</t>
  </si>
  <si>
    <t xml:space="preserve">EU</t>
  </si>
  <si>
    <t xml:space="preserve">Published</t>
  </si>
  <si>
    <t xml:space="preserve">Environmental Improvement Plan 2025</t>
  </si>
  <si>
    <t xml:space="preserve">CAN</t>
  </si>
  <si>
    <t xml:space="preserve">Canada</t>
  </si>
  <si>
    <t xml:space="preserve">North America</t>
  </si>
  <si>
    <t xml:space="preserve">Canada's 2030 Nature Strategy</t>
  </si>
  <si>
    <t xml:space="preserve">QAT</t>
  </si>
  <si>
    <t xml:space="preserve">Qatar</t>
  </si>
  <si>
    <t xml:space="preserve">Middle East</t>
  </si>
  <si>
    <t xml:space="preserve">Outdated</t>
  </si>
  <si>
    <t xml:space="preserve">CBD Strategy and Action Plan - Qatar (English version)</t>
  </si>
  <si>
    <t xml:space="preserve">SAU</t>
  </si>
  <si>
    <t xml:space="preserve">Saudi Arabia</t>
  </si>
  <si>
    <t xml:space="preserve">Comprehensive Framework for Biodiversity</t>
  </si>
  <si>
    <t xml:space="preserve">ARE</t>
  </si>
  <si>
    <t xml:space="preserve">United Arab Emirates</t>
  </si>
  <si>
    <t xml:space="preserve">Framework for Biodiversity Strategy</t>
  </si>
  <si>
    <t xml:space="preserve">FRA</t>
  </si>
  <si>
    <t xml:space="preserve">France</t>
  </si>
  <si>
    <t xml:space="preserve">National Biodiversity Strategy 2030</t>
  </si>
  <si>
    <t xml:space="preserve">ESP</t>
  </si>
  <si>
    <t xml:space="preserve">Spain</t>
  </si>
  <si>
    <t xml:space="preserve">State Strategic Plan for Natural Heritage and Biodiversity to 2030</t>
  </si>
  <si>
    <t xml:space="preserve">DEU</t>
  </si>
  <si>
    <t xml:space="preserve">Germany</t>
  </si>
  <si>
    <t xml:space="preserve">IRL</t>
  </si>
  <si>
    <t xml:space="preserve">Ireland</t>
  </si>
  <si>
    <t xml:space="preserve">National Biodiversity Action Plan 2023-2030</t>
  </si>
  <si>
    <t xml:space="preserve">PRT</t>
  </si>
  <si>
    <t xml:space="preserve">Portugal</t>
  </si>
  <si>
    <t xml:space="preserve">Not published</t>
  </si>
  <si>
    <t xml:space="preserve">N/A</t>
  </si>
  <si>
    <t xml:space="preserve">ITA</t>
  </si>
  <si>
    <t xml:space="preserve">Italy</t>
  </si>
  <si>
    <t xml:space="preserve">Italina Biodiversity Strategy 2030</t>
  </si>
  <si>
    <t xml:space="preserve">Sources</t>
  </si>
  <si>
    <t xml:space="preserve">Source_ID</t>
  </si>
  <si>
    <t xml:space="preserve">Title</t>
  </si>
  <si>
    <t xml:space="preserve">Publisher</t>
  </si>
  <si>
    <t xml:space="preserve">Year</t>
  </si>
  <si>
    <t xml:space="preserve">Type</t>
  </si>
  <si>
    <t xml:space="preserve">Location / URL</t>
  </si>
  <si>
    <t xml:space="preserve">Date accessed</t>
  </si>
  <si>
    <t xml:space="preserve">Included (Y/N)</t>
  </si>
  <si>
    <t xml:space="preserve">Reason / note</t>
  </si>
  <si>
    <t xml:space="preserve">SRC-01</t>
  </si>
  <si>
    <t xml:space="preserve">[Client] Sustainability Report 2025</t>
  </si>
  <si>
    <t xml:space="preserve">[Client]</t>
  </si>
  <si>
    <t xml:space="preserve">2026</t>
  </si>
  <si>
    <t xml:space="preserve">Annual / sustainability report</t>
  </si>
  <si>
    <t xml:space="preserve">[file name]</t>
  </si>
  <si>
    <t xml:space="preserve">[date]</t>
  </si>
  <si>
    <t xml:space="preserve">Y</t>
  </si>
  <si>
    <t xml:space="preserve">EXAMPLE – delete</t>
  </si>
  <si>
    <t xml:space="preserve">Client portfolio exposure by sector</t>
  </si>
  <si>
    <t xml:space="preserve">Copy figures exactly as disclosed (e.g. TNFD priority sectors, concentration of exposure tables). Do not estimate.</t>
  </si>
  <si>
    <t xml:space="preserve">Sector (as disclosed)</t>
  </si>
  <si>
    <t xml:space="preserve">Sub-sector</t>
  </si>
  <si>
    <t xml:space="preserve">Exposure (m, reporting currency)</t>
  </si>
  <si>
    <t xml:space="preserve">Currency</t>
  </si>
  <si>
    <t xml:space="preserve">Nature priority (as disclosed)</t>
  </si>
  <si>
    <t xml:space="preserve">% of total exposure</t>
  </si>
  <si>
    <t xml:space="preserve">Linked SubTheme_IDs</t>
  </si>
  <si>
    <t xml:space="preserve">Reference (tab/page)</t>
  </si>
  <si>
    <t xml:space="preserve">SRC-02</t>
  </si>
  <si>
    <t xml:space="preserve">Agriculture, forestry and fishing</t>
  </si>
  <si>
    <t xml:space="preserve">Agriculture</t>
  </si>
  <si>
    <t xml:space="preserve">GBP</t>
  </si>
  <si>
    <t xml:space="preserve">Yes</t>
  </si>
  <si>
    <t xml:space="preserve">AFF02</t>
  </si>
  <si>
    <t xml:space="preserve">Data sheet tab 18 – EXAMPLE</t>
  </si>
  <si>
    <t xml:space="preserve">Sub-markets (from EY NBSAP workbook)</t>
  </si>
  <si>
    <t xml:space="preserve">Sub_Market_ID</t>
  </si>
  <si>
    <t xml:space="preserve">SubTheme_ID (parent)</t>
  </si>
  <si>
    <t xml:space="preserve">Sub-market</t>
  </si>
  <si>
    <t xml:space="preserve">Description</t>
  </si>
  <si>
    <t xml:space="preserve">Field of play</t>
  </si>
  <si>
    <t xml:space="preserve">WU01</t>
  </si>
  <si>
    <t xml:space="preserve">W01</t>
  </si>
  <si>
    <t xml:space="preserve">AgTech and irrigation efficiency</t>
  </si>
  <si>
    <t xml:space="preserve">Technologies and practices that improve water use efficiency in agriculture, including precision irrigation (e.g. drip and micro‑irrigation), soil‑moisture sensing, digital farm management tools, and automated control systems, with the objective of reducing water withdrawals while maintaining or increasing crop yields.</t>
  </si>
  <si>
    <t xml:space="preserve">Technology development and R&amp;D</t>
  </si>
  <si>
    <t xml:space="preserve">WU02</t>
  </si>
  <si>
    <t xml:space="preserve">Leak detection systems</t>
  </si>
  <si>
    <t xml:space="preserve">Hardware and software solutions used to identify, locate, and quantify water losses in distribution and transmission networks, including acoustic sensors, pressure and flow monitoring, satellite and drone detection, and AI‑based analytics, aimed at reducing non‑revenue water.</t>
  </si>
  <si>
    <t xml:space="preserve">WU03</t>
  </si>
  <si>
    <t xml:space="preserve">Smart meters</t>
  </si>
  <si>
    <t xml:space="preserve">Digitally enabled water meters that provide real‑time or near‑real‑time measurement of water consumption, enabling remote reading, demand management, leak detection at the customer level, and data‑driven pricing and conservation strategies.</t>
  </si>
  <si>
    <t xml:space="preserve">WU04</t>
  </si>
  <si>
    <t xml:space="preserve">Water cycle digitalisation</t>
  </si>
  <si>
    <t xml:space="preserve">The application of digital technologies across the entire urban and industrial water cycle—from abstraction and treatment to distribution, wastewater, and reuse—using sensors, data platforms, AI, and digital twins to optimise performance, resilience, and regulatory compliance.</t>
  </si>
  <si>
    <t xml:space="preserve">WU07</t>
  </si>
  <si>
    <t xml:space="preserve">Industrial process water efficiency</t>
  </si>
  <si>
    <t xml:space="preserve">Technologies and operational improvements that reduce water use, losses, and contamination in industrial processes, including closed‑loop systems, water recycling, advanced cooling, and process optimisation to lower operational costs and environmental impacts.</t>
  </si>
  <si>
    <t xml:space="preserve">WU08</t>
  </si>
  <si>
    <t xml:space="preserve">Nuclear cooling water efficiency</t>
  </si>
  <si>
    <t xml:space="preserve">Specialised systems and technologies that optimise water use for nuclear power plant cooling, including closed‑cycle cooling, cooling towers, advanced heat exchange systems, and water reuse, aimed at reducing abstraction pressures and thermal impacts on water bodies.</t>
  </si>
  <si>
    <t xml:space="preserve">WU09</t>
  </si>
  <si>
    <t xml:space="preserve">W02</t>
  </si>
  <si>
    <t xml:space="preserve">Wastewater treatment</t>
  </si>
  <si>
    <t xml:space="preserve">Physical, chemical, and biological processes used to remove pollutants from wastewater before discharge or reuse, encompassing primary, secondary, and tertiary treatment, nutrient removal, and advanced treatment technologies for emerging contaminants.</t>
  </si>
  <si>
    <t xml:space="preserve">Business transition</t>
  </si>
  <si>
    <t xml:space="preserve">WU10</t>
  </si>
  <si>
    <t xml:space="preserve">Desalination</t>
  </si>
  <si>
    <t xml:space="preserve">Technologies that convert saline or brackish water into freshwater, primarily through reverse osmosis and thermal processes, to augment water supply in water‑stressed regions, often integrated with energy‑efficiency and brine‑management solutions.</t>
  </si>
  <si>
    <t xml:space="preserve">WU11</t>
  </si>
  <si>
    <t xml:space="preserve">Water body conservation</t>
  </si>
  <si>
    <t xml:space="preserve">Activities and investments aimed at protecting and restoring the ecological status of rivers, lakes, and reservoirs, including pollution reduction, habitat restoration, flow management, and monitoring to maintain water quality and ecosystem services.</t>
  </si>
  <si>
    <t xml:space="preserve">Protection &amp; restoration</t>
  </si>
  <si>
    <t xml:space="preserve">WU12</t>
  </si>
  <si>
    <t xml:space="preserve">Marine and coastal area protection</t>
  </si>
  <si>
    <t xml:space="preserve">Measures to protect marine and coastal ecosystems from pollution, erosion, and climate impacts, including wastewater outfall management, coastal habitat restoration, nature‑based solutions, and marine spatial planning to safeguard biodiversity and coastal resilience.</t>
  </si>
  <si>
    <t xml:space="preserve">WU13</t>
  </si>
  <si>
    <t xml:space="preserve">Groundwater abstraction</t>
  </si>
  <si>
    <t xml:space="preserve">Infrastructure, monitoring, and management systems associated with the extraction of groundwater resources, including wells, pumps, metering, and regulatory controls, designed to ensure sustainable withdrawal and protect aquifer integrity.</t>
  </si>
  <si>
    <t xml:space="preserve">WU14</t>
  </si>
  <si>
    <t xml:space="preserve">Wetland and peatland restoration and protection</t>
  </si>
  <si>
    <t xml:space="preserve">Nature‑based solutions focused on restoring and conserving wetlands and peatlands to improve water quality, regulate flows, store carbon, and enhance biodiversity, while reducing flood risk and supporting climate adaptation.</t>
  </si>
  <si>
    <t xml:space="preserve">WU15</t>
  </si>
  <si>
    <t xml:space="preserve">W03</t>
  </si>
  <si>
    <t xml:space="preserve">Water infrastructure upgrades</t>
  </si>
  <si>
    <t xml:space="preserve">Capital investments to rehabilitate, replace, or modernise water supply and wastewater assets, including pipes, treatment plants, pumping stations, and control systems, addressing ageing infrastructure and capacity constraints</t>
  </si>
  <si>
    <t xml:space="preserve">WU16</t>
  </si>
  <si>
    <t xml:space="preserve">Water storage and drought response</t>
  </si>
  <si>
    <t xml:space="preserve">Infrastructure and operational measures that increase water system resilience to drought, including reservoirs, managed aquifer recharge, emergency supply schemes, and demand‑side response mechanisms.</t>
  </si>
  <si>
    <t xml:space="preserve">WU18</t>
  </si>
  <si>
    <t xml:space="preserve">Digitalisation of water management systems</t>
  </si>
  <si>
    <t xml:space="preserve">The deployment of integrated digital platforms—such as SCADA, IoT sensors, analytics, and AI—to support real‑time monitoring, predictive maintenance, regulatory reporting, and strategic decision‑making across water utilities and authorities.</t>
  </si>
  <si>
    <t xml:space="preserve">WU19</t>
  </si>
  <si>
    <t xml:space="preserve">Sewerage infrastructure</t>
  </si>
  <si>
    <t xml:space="preserve">Networks and assets that collect, transport, store, and convey wastewater, including sewers, pumping stations, storage tunnels, and associated control systems, forming the backbone of urban sanitation and wastewater management.</t>
  </si>
  <si>
    <t xml:space="preserve">FO01</t>
  </si>
  <si>
    <t xml:space="preserve">AFF01</t>
  </si>
  <si>
    <t xml:space="preserve">Reforestation / forest regeneration</t>
  </si>
  <si>
    <t xml:space="preserve">The restoration of forest cover on previously forested land through natural regeneration or active planting to recover ecosystem functions, carbon stocks, and biodiversity.</t>
  </si>
  <si>
    <t xml:space="preserve">FO02</t>
  </si>
  <si>
    <t xml:space="preserve">Afforestation / large-scale tree planting</t>
  </si>
  <si>
    <t xml:space="preserve">The establishment of tree cover on land not recently forested, typically at scale, to deliver climate mitigation, ecosystem services, and land‑use change objectives.</t>
  </si>
  <si>
    <t xml:space="preserve">FO03</t>
  </si>
  <si>
    <t xml:space="preserve">Habitat restoration (incl. peatlands) in forest landscapes</t>
  </si>
  <si>
    <t xml:space="preserve">Activities that rehabilitate degraded forest‑associated ecosystems, including peatlands, to restore hydrology, biodiversity, and long‑term carbon storage.</t>
  </si>
  <si>
    <t xml:space="preserve">FO04</t>
  </si>
  <si>
    <t xml:space="preserve">Sustainable forest management &amp; biodiversity improvement</t>
  </si>
  <si>
    <t xml:space="preserve">Forest management practices that balance timber production with conservation outcomes by maintaining ecological integrity, species diversity, and long‑term forest resilience.</t>
  </si>
  <si>
    <t xml:space="preserve">FO05</t>
  </si>
  <si>
    <t xml:space="preserve">Agroforestry systems</t>
  </si>
  <si>
    <t xml:space="preserve">Integrated land‑use systems that deliberately combine trees with crops and/or livestock to enhance productivity, biodiversity, soil health, and climate resilience.</t>
  </si>
  <si>
    <t xml:space="preserve">FO06</t>
  </si>
  <si>
    <t xml:space="preserve">Forestry sector modernisation finance (loans/guarantees/programmes)</t>
  </si>
  <si>
    <t xml:space="preserve">Financial instruments that support the upgrade of forestry operations, infrastructure, and practices to improve efficiency, sustainability, and environmental performance.</t>
  </si>
  <si>
    <t xml:space="preserve">Natural capital markets</t>
  </si>
  <si>
    <t xml:space="preserve">FO07</t>
  </si>
  <si>
    <t xml:space="preserve">Agri-environment &amp; sustainable farming schemes (payments/eco-schemes)</t>
  </si>
  <si>
    <t xml:space="preserve">Public or private payment mechanisms that incentivise farmers to adopt practices delivering environmental benefits beyond baseline agricultural requirements.</t>
  </si>
  <si>
    <t xml:space="preserve">FO08</t>
  </si>
  <si>
    <t xml:space="preserve">Soil restoration &amp; regenerative practices</t>
  </si>
  <si>
    <t xml:space="preserve">Land management approaches that rebuild soil organic matter, structure, and biological activity to improve productivity, water retention, and ecosystem resilience.</t>
  </si>
  <si>
    <t xml:space="preserve">FO09</t>
  </si>
  <si>
    <t xml:space="preserve">Ecosystem restoration in agricultural landscapes</t>
  </si>
  <si>
    <t xml:space="preserve">Interventions that restore semi‑natural habitats and ecological functions within farmed landscapes while maintaining agricultural use.</t>
  </si>
  <si>
    <t xml:space="preserve">FO10</t>
  </si>
  <si>
    <t xml:space="preserve">Organic agriculture transition support</t>
  </si>
  <si>
    <t xml:space="preserve">Financial or technical assistance that enables farmers to convert from conventional to certified organic production systems.</t>
  </si>
  <si>
    <t xml:space="preserve">FO11</t>
  </si>
  <si>
    <t xml:space="preserve">Controlled environment agriculture (greenhouses / vertical farming)</t>
  </si>
  <si>
    <t xml:space="preserve">Food production systems that grow crops in enclosed, controlled settings to optimise resource efficiency, yields, and climate resilience.</t>
  </si>
  <si>
    <t xml:space="preserve">FO12</t>
  </si>
  <si>
    <t xml:space="preserve">Agro-ecology &amp; digital agriculture R&amp;D</t>
  </si>
  <si>
    <t xml:space="preserve">Research and innovation activities that combine ecological farming principles with digital technologies to improve sustainability, productivity, and decision‑making.</t>
  </si>
  <si>
    <t xml:space="preserve">FO13</t>
  </si>
  <si>
    <t xml:space="preserve">Genetic resources &amp; agrobiodiversity stewardship</t>
  </si>
  <si>
    <t xml:space="preserve">Conservation and sustainable use of crop, livestock, and microbial genetic diversity to support resilient food systems and long‑term productivity.</t>
  </si>
  <si>
    <t xml:space="preserve">FO14</t>
  </si>
  <si>
    <t xml:space="preserve">AFF03</t>
  </si>
  <si>
    <t xml:space="preserve">Sustainable fisheries management plans &amp; governance</t>
  </si>
  <si>
    <t xml:space="preserve">Regulatory and management frameworks that set science‑based rules for fishing activity to ensure long‑term stock health and ecosystem integrity.</t>
  </si>
  <si>
    <t xml:space="preserve">FO15</t>
  </si>
  <si>
    <t xml:space="preserve">Sustainable/green fishing &amp; aquaculture funding programmes</t>
  </si>
  <si>
    <t xml:space="preserve">Targeted financial support for fisheries and aquaculture operations that reduce environmental impacts and improve sustainability performance.</t>
  </si>
  <si>
    <t xml:space="preserve">FO16</t>
  </si>
  <si>
    <t xml:space="preserve">Fishing fleet modernisation &amp; new tech/equipment</t>
  </si>
  <si>
    <t xml:space="preserve">Investment in vessels and equipment to improve safety, efficiency, selectivity, and environmental performance of fishing operations.</t>
  </si>
  <si>
    <t xml:space="preserve">FO17</t>
  </si>
  <si>
    <t xml:space="preserve">Clean technology adoption for fisheries/aquaculture</t>
  </si>
  <si>
    <t xml:space="preserve">Deployment of low‑emission, energy‑efficient, or pollution‑reducing technologies within fisheries and aquaculture value chains.</t>
  </si>
  <si>
    <t xml:space="preserve">FO18</t>
  </si>
  <si>
    <t xml:space="preserve">Marine protected areas (MPAs) &amp; conservation finance</t>
  </si>
  <si>
    <t xml:space="preserve">Designation and financing of protected marine zones to conserve biodiversity, restore ecosystems, and sustain ocean services.</t>
  </si>
  <si>
    <t xml:space="preserve">FO19</t>
  </si>
  <si>
    <t xml:space="preserve">Blue economy partnerships &amp; international ocean governance</t>
  </si>
  <si>
    <t xml:space="preserve">Cooperative initiatives across countries and sectors that support sustainable economic use of oceans under shared governance frameworks.</t>
  </si>
  <si>
    <t xml:space="preserve">FO20</t>
  </si>
  <si>
    <t xml:space="preserve">Aquaculture growth &amp; investment capital</t>
  </si>
  <si>
    <t xml:space="preserve">Public or private capital deployed to expand aquaculture production capacity, innovation, and value chains in a sustainable manner.</t>
  </si>
  <si>
    <t xml:space="preserve">I1</t>
  </si>
  <si>
    <t xml:space="preserve">UD01</t>
  </si>
  <si>
    <t xml:space="preserve">Sustainable materials (certified timber, recycled &amp; bio‑based)</t>
  </si>
  <si>
    <t xml:space="preserve">Materials sourced from certified, recycled, or renewable biological inputs that reduce environmental impacts, resource extraction, and biodiversity loss across the building life cycle.</t>
  </si>
  <si>
    <t xml:space="preserve">I2</t>
  </si>
  <si>
    <t xml:space="preserve">Green / nature‑inclusive building standards &amp; certification</t>
  </si>
  <si>
    <t xml:space="preserve">Building standards and certification schemes that embed biodiversity, ecosystem services, and nature‑positive design principles into planning, construction, and operation.</t>
  </si>
  <si>
    <t xml:space="preserve">I3</t>
  </si>
  <si>
    <t xml:space="preserve">Biodiversity features (green roofs/walls, bird‑safe design, pollinator landscaping)</t>
  </si>
  <si>
    <t xml:space="preserve">Integrated building and landscape features designed to create habitat, support species, and enhance biodiversity within developed environments.</t>
  </si>
  <si>
    <t xml:space="preserve">I4</t>
  </si>
  <si>
    <t xml:space="preserve">SuDS (sustainable drainage systems) &amp; stormwater nature‑based solutions (rain gardens, bioswales, permeable paving)</t>
  </si>
  <si>
    <t xml:space="preserve">Nature‑based drainage systems that manage stormwater through infiltration, storage, and evapotranspiration while delivering biodiversity and water‑quality benefits.</t>
  </si>
  <si>
    <t xml:space="preserve">I5</t>
  </si>
  <si>
    <t xml:space="preserve">UD02</t>
  </si>
  <si>
    <t xml:space="preserve">Biodiversity friendly transmission corridors</t>
  </si>
  <si>
    <t xml:space="preserve">Linear infrastructure corridors designed and managed to minimise habitat fragmentation and support species movement and ecological function.</t>
  </si>
  <si>
    <t xml:space="preserve">I7</t>
  </si>
  <si>
    <t xml:space="preserve">Green/blue corridors &amp; ecological connectivity (greenways, habitat corridors)</t>
  </si>
  <si>
    <t xml:space="preserve">Networks of connected green and water‑based habitats that enable species movement, genetic exchange, and ecosystem resilience across landscapes.</t>
  </si>
  <si>
    <t xml:space="preserve">I8</t>
  </si>
  <si>
    <t xml:space="preserve">De‑sealing &amp; nature‑positive urban regeneration / public realm upgrades</t>
  </si>
  <si>
    <t xml:space="preserve">Urban regeneration activities that remove impermeable surfaces and restore soils, vegetation, and ecosystem functions in streets, squares, and public spaces.</t>
  </si>
  <si>
    <t xml:space="preserve">I9</t>
  </si>
  <si>
    <t xml:space="preserve">Green city infrastructure</t>
  </si>
  <si>
    <t xml:space="preserve">Urban infrastructure that integrates natural systems to deliver ecosystem services such as cooling, flood mitigation, air quality improvement, and biodiversity enhancement.</t>
  </si>
  <si>
    <t xml:space="preserve">I10</t>
  </si>
  <si>
    <t xml:space="preserve">UD03</t>
  </si>
  <si>
    <t xml:space="preserve">Urban waterways &amp; wetland restoration (incl. floodplain reconnection)</t>
  </si>
  <si>
    <t xml:space="preserve">Restoration of rivers, canals, wetlands, and floodplains in urban areas to improve ecological condition, water management, and climate resilience.</t>
  </si>
  <si>
    <t xml:space="preserve">I11</t>
  </si>
  <si>
    <t xml:space="preserve">Urban greening programmes (parks, pocket parks, micro‑forests, tree canopies)</t>
  </si>
  <si>
    <t xml:space="preserve">Planned initiatives to expand and enhance urban green spaces and tree cover to support biodiversity, climate adaptation, and human well‑being.</t>
  </si>
  <si>
    <t xml:space="preserve">I12</t>
  </si>
  <si>
    <t xml:space="preserve">Habitat protection from building permissions/protection from land-use changes</t>
  </si>
  <si>
    <t xml:space="preserve">Regulatory and planning measures that prevent habitat loss by restricting development and land‑use changes in ecologically sensitive areas.</t>
  </si>
  <si>
    <t xml:space="preserve">A01</t>
  </si>
  <si>
    <t xml:space="preserve">DM01</t>
  </si>
  <si>
    <t xml:space="preserve">River and coastal flood defences</t>
  </si>
  <si>
    <t xml:space="preserve">Infrastructure and nature‑integrated measures designed to reduce flood risk by controlling river flows and coastal processes while, where possible, maintaining or enhancing ecosystem functions.</t>
  </si>
  <si>
    <t xml:space="preserve">A02</t>
  </si>
  <si>
    <t xml:space="preserve">Flood retention areas and floodplain restoration</t>
  </si>
  <si>
    <t xml:space="preserve">The reinstatement or creation of natural flood storage areas that reduce flood peaks while restoring floodplain habitats and ecological connectivity.</t>
  </si>
  <si>
    <t xml:space="preserve">A03</t>
  </si>
  <si>
    <t xml:space="preserve">Urban drainage upgrades and stormwater tunnels</t>
  </si>
  <si>
    <t xml:space="preserve">Engineered systems that improve the collection, conveyance, and temporary storage of stormwater to reduce urban flooding and pollution pressures on receiving ecosystems.</t>
  </si>
  <si>
    <t xml:space="preserve">A04</t>
  </si>
  <si>
    <t xml:space="preserve">Landscape restoration to reduce erosion</t>
  </si>
  <si>
    <t xml:space="preserve">Restoration of degraded landscapes to stabilise soils, reduce sediment loss, and recover vegetation and ecological processes that limit erosion risks.</t>
  </si>
  <si>
    <t xml:space="preserve">A05</t>
  </si>
  <si>
    <t xml:space="preserve">Drought-resilience water supply infrastructure</t>
  </si>
  <si>
    <t xml:space="preserve">Water systems designed to withstand prolonged water scarcity while reducing pressure on freshwater ecosystems and supporting sustainable water use.</t>
  </si>
  <si>
    <t xml:space="preserve">A06</t>
  </si>
  <si>
    <t xml:space="preserve">Vegetation and fuel-load management</t>
  </si>
  <si>
    <t xml:space="preserve">Targeted management of vegetation structure and biomass to reduce wildfire risk while maintaining ecosystem health and biodiversity values.</t>
  </si>
  <si>
    <t xml:space="preserve">A07</t>
  </si>
  <si>
    <t xml:space="preserve">Land-use and forest management to reduce fire severity</t>
  </si>
  <si>
    <t xml:space="preserve">Spatial planning and forest management practices that lower wildfire intensity and spread by enhancing landscape heterogeneity and ecosystem resilience.</t>
  </si>
  <si>
    <t xml:space="preserve">A08</t>
  </si>
  <si>
    <t xml:space="preserve">DM02</t>
  </si>
  <si>
    <t xml:space="preserve">Flood, drought, heatwave and wildfire early-warning systems</t>
  </si>
  <si>
    <t xml:space="preserve">Monitoring and forecasting systems that provide timely alerts on climate‑related hazards to reduce impacts on people, infrastructure, and ecosystems.</t>
  </si>
  <si>
    <t xml:space="preserve">A09</t>
  </si>
  <si>
    <t xml:space="preserve">Emergency coordination and crisis communication systems</t>
  </si>
  <si>
    <t xml:space="preserve">Institutional and communication mechanisms that enable rapid, coordinated response during extreme events to limit ecological, social, and economic damage.</t>
  </si>
  <si>
    <t xml:space="preserve">A10</t>
  </si>
  <si>
    <t xml:space="preserve">Heat health warning systems</t>
  </si>
  <si>
    <t xml:space="preserve">Early‑warning systems that alert populations to extreme heat risks, helping to reduce health impacts while recognising interactions with urban and natural environments.</t>
  </si>
  <si>
    <t xml:space="preserve">A15</t>
  </si>
  <si>
    <t xml:space="preserve">Flood risk management</t>
  </si>
  <si>
    <t xml:space="preserve">Structural and non‑structural measures to prevent, mitigate, and manage flood impacts, including flood defences, river restoration, early‑warning systems, land‑use planning, and catchment‑scale interventions.</t>
  </si>
  <si>
    <t xml:space="preserve">A16</t>
  </si>
  <si>
    <t xml:space="preserve">Sponge cities for flood reduction</t>
  </si>
  <si>
    <t xml:space="preserve">Urban design approaches that use permeable surfaces, green spaces, and water‑retentive landscapes to absorb, store, and slow stormwater and reduce flood risk.</t>
  </si>
  <si>
    <t xml:space="preserve">A11</t>
  </si>
  <si>
    <t xml:space="preserve">DM03</t>
  </si>
  <si>
    <t xml:space="preserve">Resilience upgrades to existing infrastructure</t>
  </si>
  <si>
    <t xml:space="preserve">Modifications to existing assets that increase their ability to withstand climate and hazard stresses while minimising adverse impacts on surrounding ecosystems.</t>
  </si>
  <si>
    <t xml:space="preserve">A12</t>
  </si>
  <si>
    <t xml:space="preserve">Design standards to reduce overheating in buildings</t>
  </si>
  <si>
    <t xml:space="preserve">Building design requirements that limit heat accumulation through passive measures, reducing health risks, energy demand, and urban heat impacts.</t>
  </si>
  <si>
    <t xml:space="preserve">A13</t>
  </si>
  <si>
    <t xml:space="preserve">Ecosystem-based approaches</t>
  </si>
  <si>
    <t xml:space="preserve">Strategies that protect, restore, and sustainably manage ecosystems to reduce risks, support adaptation, and enhance long‑term resilience for both nature and society.</t>
  </si>
  <si>
    <t xml:space="preserve">PL1</t>
  </si>
  <si>
    <t xml:space="preserve">P01</t>
  </si>
  <si>
    <t xml:space="preserve">Sustainable packaging</t>
  </si>
  <si>
    <t xml:space="preserve">Packaging solutions designed to minimise environmental impact across the lifecycle through reduced material use, recyclability, reuse, or the use of low‑impact and renewable inputs.</t>
  </si>
  <si>
    <t xml:space="preserve">PL2</t>
  </si>
  <si>
    <t xml:space="preserve">Biodegradable materials</t>
  </si>
  <si>
    <t xml:space="preserve">Materials that can be broken down by natural biological processes into non‑toxic components within a reasonable timeframe, reducing long‑term environmental persistence.</t>
  </si>
  <si>
    <t xml:space="preserve">PL3</t>
  </si>
  <si>
    <t xml:space="preserve">P02</t>
  </si>
  <si>
    <t xml:space="preserve">Waste management &amp; recycling infrastructure</t>
  </si>
  <si>
    <t xml:space="preserve">Physical systems and services that enable the collection, sorting, treatment, recycling, and safe disposal of waste materials to reduce landfill use and environmental harm.</t>
  </si>
  <si>
    <t xml:space="preserve">PL4</t>
  </si>
  <si>
    <t xml:space="preserve">Circular economy systems</t>
  </si>
  <si>
    <t xml:space="preserve">Economic systems that prioritise resource efficiency by designing out waste, extending product lifecycles, and keeping materials in use through reuse, recycling, and regeneration.</t>
  </si>
  <si>
    <t xml:space="preserve">PL5</t>
  </si>
  <si>
    <t xml:space="preserve">Plastic waste reduction</t>
  </si>
  <si>
    <t xml:space="preserve">Measures aimed at decreasing plastic use, improving recyclability, and preventing plastic leakage into the environment across production, consumption, and waste stages.</t>
  </si>
  <si>
    <t xml:space="preserve">PL6</t>
  </si>
  <si>
    <t xml:space="preserve">Chemical pollution management</t>
  </si>
  <si>
    <t xml:space="preserve">The control, reduction, and remediation of harmful chemical releases to air, water, and soil to protect human health and ecosystems.</t>
  </si>
  <si>
    <t xml:space="preserve">PL7</t>
  </si>
  <si>
    <t xml:space="preserve">Industrial waste &amp; hazardous waste</t>
  </si>
  <si>
    <t xml:space="preserve">Waste streams generated by industrial activities that may pose environmental or health risks due to their volume, toxicity, flammability, or persistence, requiring specialised handling and disposal.</t>
  </si>
  <si>
    <t xml:space="preserve">PL8</t>
  </si>
  <si>
    <t xml:space="preserve">P03</t>
  </si>
  <si>
    <t xml:space="preserve">Transport noise reduction</t>
  </si>
  <si>
    <t xml:space="preserve">Interventions that reduce noise generated by road, rail, and maritime transport through technology, infrastructure design, and operational controls.</t>
  </si>
  <si>
    <t xml:space="preserve">PL9</t>
  </si>
  <si>
    <t xml:space="preserve">Aviation noise mitigation</t>
  </si>
  <si>
    <t xml:space="preserve">Strategies to minimise noise impacts from aircraft operations, including flight path optimisation, quieter aircraft technologies, and airport‑level operational measures.</t>
  </si>
  <si>
    <t xml:space="preserve">PL10</t>
  </si>
  <si>
    <t xml:space="preserve">Urban noise monitoring &amp; mitigation</t>
  </si>
  <si>
    <t xml:space="preserve">The measurement, analysis, and management of noise pollution in urban areas to reduce impacts on human health and quality of life.</t>
  </si>
  <si>
    <t xml:space="preserve">PL11</t>
  </si>
  <si>
    <t xml:space="preserve">Development of technologies to reduce air pollution</t>
  </si>
  <si>
    <t xml:space="preserve">Innovation and deployment of technologies that lower emissions of harmful air pollutants from industrial, transport, and energy sources.</t>
  </si>
  <si>
    <t xml:space="preserve">Taxonomy and country NBSAP signal</t>
  </si>
  <si>
    <t xml:space="preserve">Columns G–K recalculate when Inputs!Country_ID changes. Theme names inferred from codes – confirm.</t>
  </si>
  <si>
    <t xml:space="preserve">Theme_ID</t>
  </si>
  <si>
    <t xml:space="preserve">Theme</t>
  </si>
  <si>
    <t xml:space="preserve">SubTheme_ID</t>
  </si>
  <si>
    <t xml:space="preserve">Sub-theme</t>
  </si>
  <si>
    <t xml:space="preserve">Definition</t>
  </si>
  <si>
    <t xml:space="preserve">ENCORE theme</t>
  </si>
  <si>
    <t xml:space="preserve">NBSAP commitments (no.) – selected country</t>
  </si>
  <si>
    <t xml:space="preserve">NBSAP commitments (USD bn) – selected country</t>
  </si>
  <si>
    <t xml:space="preserve">Relative rank (0–1)</t>
  </si>
  <si>
    <t xml:space="preserve">C3 NBSAP emphasis</t>
  </si>
  <si>
    <t xml:space="preserve">C5 Market opportunity</t>
  </si>
  <si>
    <t xml:space="preserve">NBSAP target link (selected country)</t>
  </si>
  <si>
    <t xml:space="preserve">Short name (slides)</t>
  </si>
  <si>
    <t xml:space="preserve">W</t>
  </si>
  <si>
    <t xml:space="preserve">Water</t>
  </si>
  <si>
    <t xml:space="preserve">Water usage</t>
  </si>
  <si>
    <t xml:space="preserve">Ensuring a sustainable supply of water to homes, the public and businesses</t>
  </si>
  <si>
    <t xml:space="preserve">Volume of water use</t>
  </si>
  <si>
    <t xml:space="preserve">Water quality</t>
  </si>
  <si>
    <t xml:space="preserve">Water quality refers to the chemical, physical, and biological characteristics of water, assessed in relation to its suitability for a specific use, such as drinking, ecosystem support, agriculture, industry, or recreation.</t>
  </si>
  <si>
    <t xml:space="preserve">Emissions of toxic pollutants to water and soil</t>
  </si>
  <si>
    <t xml:space="preserve">Water availability</t>
  </si>
  <si>
    <t xml:space="preserve">Water availability refers to the amount of water that is physically present and accessible in a given area over a specified period of time.</t>
  </si>
  <si>
    <t xml:space="preserve">AFF</t>
  </si>
  <si>
    <t xml:space="preserve">Agriculture, forestry and fisheries</t>
  </si>
  <si>
    <t xml:space="preserve">Sustainable forestry</t>
  </si>
  <si>
    <t xml:space="preserve">Sustainable forestry is the management of forests to generate long‑term economic returns while maintaining forest health, productivity, biodiversity, and carbon storage over time.</t>
  </si>
  <si>
    <t xml:space="preserve">Other biotic resource extraction (e.g. timber)</t>
  </si>
  <si>
    <t xml:space="preserve">Forestry</t>
  </si>
  <si>
    <t xml:space="preserve">Sustainable agriculture</t>
  </si>
  <si>
    <t xml:space="preserve">Sustainable agriculture is food and fibre production that maintains long‑term farm productivity and profitability while protecting soil, water, biodiversity, and resilience to climate and market risks.</t>
  </si>
  <si>
    <t xml:space="preserve">Area of land use</t>
  </si>
  <si>
    <t xml:space="preserve">Sustainable fisheries and aquaculture</t>
  </si>
  <si>
    <t xml:space="preserve">Sustainable fisheries are fisheries managed so fish stocks remain healthy and economically viable over the long term, avoiding overfishing and minimising ecosystem damage.</t>
  </si>
  <si>
    <t xml:space="preserve">Other biotic resource extraction (e.g. fish)</t>
  </si>
  <si>
    <t xml:space="preserve">Fisheries</t>
  </si>
  <si>
    <t xml:space="preserve">UD</t>
  </si>
  <si>
    <t xml:space="preserve">Urban development and infrastructure</t>
  </si>
  <si>
    <t xml:space="preserve">Nature-positive buildings</t>
  </si>
  <si>
    <t xml:space="preserve">Designing buildings and construction systems that reduce pressure on ecosystems and actively support biodiversity</t>
  </si>
  <si>
    <t xml:space="preserve">Green-blue infrastructure, corridors and regeneration</t>
  </si>
  <si>
    <t xml:space="preserve">Economic activities that design, restore, and manage interconnected green and water‑based systems to enhance biodiversity, ecosystem connectivity, climate resilience, and nature‑positive urban and infrastructure regeneration.</t>
  </si>
  <si>
    <t xml:space="preserve">Green-blue infrastructure</t>
  </si>
  <si>
    <t xml:space="preserve">Land-use change and habitat protection</t>
  </si>
  <si>
    <t xml:space="preserve">Economic activities and interventions that prevent, reduce, or reverse the conversion and degradation of natural ecosystems by protecting habitats and influencing how land is allocated, managed, and conserved.</t>
  </si>
  <si>
    <t xml:space="preserve">Habitat protection</t>
  </si>
  <si>
    <t xml:space="preserve">DM</t>
  </si>
  <si>
    <t xml:space="preserve">Disaster management and adaptation</t>
  </si>
  <si>
    <t xml:space="preserve">Risk reduction and prevention</t>
  </si>
  <si>
    <t xml:space="preserve">Actions that protect, restore, or sustainably manage biodiversity and ecosystems to reduce the likelihood and intensity of hazards by addressing ecological degradation before risks materialise.</t>
  </si>
  <si>
    <t xml:space="preserve">Disturbance</t>
  </si>
  <si>
    <t xml:space="preserve">Risk reduction</t>
  </si>
  <si>
    <t xml:space="preserve">Flood mitigation</t>
  </si>
  <si>
    <t xml:space="preserve">Flood mitigation refers to reducing the likelihood and impacts of flooding by working with natural systems—such as wetlands, floodplains, soils, and vegetation—to slow, store, and safely absorb excess water while enhancing ecosystem health.</t>
  </si>
  <si>
    <t xml:space="preserve">Long-term adaptation and resilience</t>
  </si>
  <si>
    <t xml:space="preserve">Strategies that enhance the capacity of biodiversity and ecosystems to adapt to long‑term and compounding pressures, enabling them to withstand, recover from, and continue functioning under future environmental change.</t>
  </si>
  <si>
    <t xml:space="preserve">Adaptation</t>
  </si>
  <si>
    <t xml:space="preserve">P</t>
  </si>
  <si>
    <t xml:space="preserve">Pollution and waste</t>
  </si>
  <si>
    <t xml:space="preserve">Innovation in sustainable packaging and biodegradable materials</t>
  </si>
  <si>
    <t xml:space="preserve">The development and deployment of packaging designs and materials that reduce pollution by minimising resource use and safely breaking down through biological processes, thereby avoiding long‑term environmental persistence and harm to ecosystems.</t>
  </si>
  <si>
    <t xml:space="preserve">Generation and release of solid waste</t>
  </si>
  <si>
    <t xml:space="preserve">Packaging</t>
  </si>
  <si>
    <t xml:space="preserve">Waste &amp; circular economy</t>
  </si>
  <si>
    <t xml:space="preserve">Systems and practices that prevent waste generation by keeping materials and products in use at their highest value through reuse, repair, recycling, and regenerative design, reducing pollution and pressure on natural resources.</t>
  </si>
  <si>
    <t xml:space="preserve">Waste and circular economy</t>
  </si>
  <si>
    <t xml:space="preserve">Air pollution, disturbances &amp; noise pollution</t>
  </si>
  <si>
    <t xml:space="preserve">Emissions and physical disturbances arising from human activities—such as airborne pollutants, artificial noise, and other disruptions—that impair air quality and interfere with ecosystem functioning, species behaviour, and biodiversity health.</t>
  </si>
  <si>
    <t xml:space="preserve">Emissions of non-GHG air pollutants</t>
  </si>
  <si>
    <t xml:space="preserve">Air and noise</t>
  </si>
  <si>
    <t xml:space="preserve">NBSAP commitments – all countries (from EY workbook, Market_Examples)</t>
  </si>
  <si>
    <t xml:space="preserve">Paste refreshed rows from the EY workbook as values. Column G is a formula: always use the sub-market parent.</t>
  </si>
  <si>
    <t xml:space="preserve">Example_ID</t>
  </si>
  <si>
    <t xml:space="preserve">Market_ID (as tagged)</t>
  </si>
  <si>
    <t xml:space="preserve">Commitment</t>
  </si>
  <si>
    <t xml:space="preserve">Value (local)</t>
  </si>
  <si>
    <t xml:space="preserve">SubTheme_ID (taxonomy parent)</t>
  </si>
  <si>
    <t xml:space="preserve">Tag consistent?</t>
  </si>
  <si>
    <t xml:space="preserve">Value (USD)</t>
  </si>
  <si>
    <t xml:space="preserve">Financing method</t>
  </si>
  <si>
    <t xml:space="preserve">Financial product</t>
  </si>
  <si>
    <t xml:space="preserve">Source</t>
  </si>
  <si>
    <t xml:space="preserve">M01</t>
  </si>
  <si>
    <t xml:space="preserve">Investment into storm overflows to deliver 50% reduction in spills</t>
  </si>
  <si>
    <t xml:space="preserve">Equity and debt finance</t>
  </si>
  <si>
    <t xml:space="preserve">Term debt and equity</t>
  </si>
  <si>
    <t xml:space="preserve">NBSAP</t>
  </si>
  <si>
    <t xml:space="preserve">M02</t>
  </si>
  <si>
    <t xml:space="preserve">Water Management Grant to fund more on-farm reservoirs and better irrigation equipment</t>
  </si>
  <si>
    <t xml:space="preserve">Grant financing</t>
  </si>
  <si>
    <t xml:space="preserve">Restricted funds</t>
  </si>
  <si>
    <t xml:space="preserve">More funding for farmers as new blueprint for water announced - GOV.UK</t>
  </si>
  <si>
    <t xml:space="preserve">M03</t>
  </si>
  <si>
    <t xml:space="preserve">Water efficient fund to support new water efficiency approaches between 2025 and 2030</t>
  </si>
  <si>
    <t xml:space="preserve">Accelerators</t>
  </si>
  <si>
    <t xml:space="preserve">MOSL responds to Ofwat's second consultation on its £100m water efficiency fund - MOSL</t>
  </si>
  <si>
    <t xml:space="preserve">M04</t>
  </si>
  <si>
    <t xml:space="preserve">Funding for comprehensive cross border research to understand pollution and other pressures</t>
  </si>
  <si>
    <t xml:space="preserve">M05</t>
  </si>
  <si>
    <t xml:space="preserve">Investment into restoration of chalk stream</t>
  </si>
  <si>
    <t xml:space="preserve">M06</t>
  </si>
  <si>
    <t xml:space="preserve">Funding based on water fines and penalties into water environment</t>
  </si>
  <si>
    <t xml:space="preserve">M07</t>
  </si>
  <si>
    <t xml:space="preserve">Funding under Catchment Sensitive Farming programme to advise farmers on reducing pollution</t>
  </si>
  <si>
    <t xml:space="preserve">Catchment Sensitive Farming funding almost doubled to help farmers tackle water pollution - CIWEM</t>
  </si>
  <si>
    <t xml:space="preserve">M08</t>
  </si>
  <si>
    <t xml:space="preserve">Investment into vital infrastructure to improve the water quality of rivers, lakes and coastal waters and secure future water supplies</t>
  </si>
  <si>
    <t xml:space="preserve">Plan for Water: our integrated plan for delivering clean and plentiful water - GOV.UK</t>
  </si>
  <si>
    <t xml:space="preserve">M09</t>
  </si>
  <si>
    <t xml:space="preserve">Reduce storm overflow discharges</t>
  </si>
  <si>
    <t xml:space="preserve">M10</t>
  </si>
  <si>
    <t xml:space="preserve">Slurry Infrastructure Grant to reduce run-off</t>
  </si>
  <si>
    <t xml:space="preserve">M100</t>
  </si>
  <si>
    <t xml:space="preserve">National funding from EMFAF Programme to support sustainable to support sustainable fisheries</t>
  </si>
  <si>
    <t xml:space="preserve">EUR</t>
  </si>
  <si>
    <t xml:space="preserve">Irish EMFAF programme 2021-27 - EU Funds</t>
  </si>
  <si>
    <t xml:space="preserve">M101</t>
  </si>
  <si>
    <t xml:space="preserve">National funding from EMFAF Programme to support sustainable to support sustainable aquaculture</t>
  </si>
  <si>
    <t xml:space="preserve">M102</t>
  </si>
  <si>
    <t xml:space="preserve">National funding from EMFAF Programme to support blue economy</t>
  </si>
  <si>
    <t xml:space="preserve">M103</t>
  </si>
  <si>
    <t xml:space="preserve">National funding from EMFAF Programme to support ocean governance</t>
  </si>
  <si>
    <t xml:space="preserve">M104</t>
  </si>
  <si>
    <t xml:space="preserve">National funding from EMFAF Programme to support outermost marine areas</t>
  </si>
  <si>
    <t xml:space="preserve">M105</t>
  </si>
  <si>
    <t xml:space="preserve">Help more than 700 000 farmers coping with a growing number of climatic adversities and natural disasters by supporting their participation in risk management tools</t>
  </si>
  <si>
    <t xml:space="preserve">CAP Funding programme</t>
  </si>
  <si>
    <t xml:space="preserve">M106</t>
  </si>
  <si>
    <t xml:space="preserve">CAP payments for agriculture related to organic agriculture</t>
  </si>
  <si>
    <t xml:space="preserve">M107</t>
  </si>
  <si>
    <t xml:space="preserve">M108</t>
  </si>
  <si>
    <t xml:space="preserve">M109</t>
  </si>
  <si>
    <t xml:space="preserve">M11</t>
  </si>
  <si>
    <t xml:space="preserve">Additional investment in new large-scale water infrastructure</t>
  </si>
  <si>
    <t xml:space="preserve">Debt financing</t>
  </si>
  <si>
    <t xml:space="preserve">Term debt</t>
  </si>
  <si>
    <t xml:space="preserve">M110</t>
  </si>
  <si>
    <t xml:space="preserve">M111</t>
  </si>
  <si>
    <t xml:space="preserve">CAP payments for soil conservation and regeneration practices and ecosystem protection</t>
  </si>
  <si>
    <t xml:space="preserve">M112</t>
  </si>
  <si>
    <t xml:space="preserve">Integrated farming solutions to improve sustainable soil water and air inf arming</t>
  </si>
  <si>
    <t xml:space="preserve">M113</t>
  </si>
  <si>
    <t xml:space="preserve">Qatar greenhouse market used for food security and water efficiency</t>
  </si>
  <si>
    <t xml:space="preserve">USD</t>
  </si>
  <si>
    <t xml:space="preserve">Equity financing</t>
  </si>
  <si>
    <t xml:space="preserve">Private Equity</t>
  </si>
  <si>
    <t xml:space="preserve">Qatar Greenhouse Market Size, Trends &amp; Forecast 2026-2032</t>
  </si>
  <si>
    <t xml:space="preserve">M114</t>
  </si>
  <si>
    <t xml:space="preserve">EDB investment in vertical farming for land use</t>
  </si>
  <si>
    <t xml:space="preserve">UAE Agricultural Policy 2025</t>
  </si>
  <si>
    <t xml:space="preserve">M115</t>
  </si>
  <si>
    <t xml:space="preserve">Saudi Green Initiative committed to afforestation</t>
  </si>
  <si>
    <t xml:space="preserve">Saudi Green Initiative - Saudipedia</t>
  </si>
  <si>
    <t xml:space="preserve">M116</t>
  </si>
  <si>
    <t xml:space="preserve">Investment in agriculture and food projects (private investment)</t>
  </si>
  <si>
    <t xml:space="preserve">Saudi Arabia Secures SAR37 Billion in Private Investment for Sustainable Agriculture</t>
  </si>
  <si>
    <t xml:space="preserve">M117</t>
  </si>
  <si>
    <t xml:space="preserve">Investment in local and foreign investment into fisheries and aquaculture</t>
  </si>
  <si>
    <t xml:space="preserve">Saudi Vision 2030: Kingdom invests in aquaculture &amp; fisheries to meet domestic demands - Global Business Outlook</t>
  </si>
  <si>
    <t xml:space="preserve">M118</t>
  </si>
  <si>
    <t xml:space="preserve">Provide direct funding to Protected Landscapes organisations by April 2026 to support local action on nationally important priorities, including nature restoration and access for all</t>
  </si>
  <si>
    <t xml:space="preserve">M119</t>
  </si>
  <si>
    <t xml:space="preserve">Continue to support councils with an investment to build and maintain walking and cycling infrastructure.</t>
  </si>
  <si>
    <t xml:space="preserve">M12</t>
  </si>
  <si>
    <t xml:space="preserve">New water company infrastructure Delivery to start in the next 2 years – reducing the number of spills from storm overflows, nutrient pollution, and increasing water supply</t>
  </si>
  <si>
    <t xml:space="preserve">M120</t>
  </si>
  <si>
    <t xml:space="preserve">We will invest to construct new flood schemes and maintain and repair existing flood defences across the country.</t>
  </si>
  <si>
    <t xml:space="preserve">M121</t>
  </si>
  <si>
    <t xml:space="preserve">Government investment over 10 years from 2026 into the flood and coastal erosion prevention</t>
  </si>
  <si>
    <t xml:space="preserve">M122</t>
  </si>
  <si>
    <t xml:space="preserve">Create better facilities and infrastructure in the Public Forest Estate to increase the numbers of visitors and improve their experience.</t>
  </si>
  <si>
    <t xml:space="preserve">M123</t>
  </si>
  <si>
    <t xml:space="preserve">London green roots fund - £12m programme (grants of £10-500k) to support parks, urban waterways, SuDS, rain gardens, green roofs, nature-based solutions linked to active travel</t>
  </si>
  <si>
    <t xml:space="preserve">Green Roots Fund | London City Hall</t>
  </si>
  <si>
    <t xml:space="preserve">M124</t>
  </si>
  <si>
    <t xml:space="preserve">Since 2007, the Government of Canada has invested funds from partners that protected 8,648 km² of ecologically sensitive lands, an area almost twice the size of Prince Edward Island. These grasslands, forests, lakes, and wetlands act as habitat for more than 250 species listed under the Species at Risk Act.</t>
  </si>
  <si>
    <t xml:space="preserve">CAD</t>
  </si>
  <si>
    <t xml:space="preserve"> A Force of Nature: Canada’s Strategy to Protect Nature</t>
  </si>
  <si>
    <t xml:space="preserve">M125</t>
  </si>
  <si>
    <t xml:space="preserve">Canada's infrastructure plan commits an investment amount to green infrastructure</t>
  </si>
  <si>
    <t xml:space="preserve">Housing, Infrastructure and Communities Canada - Investing in Canada: Canada's Long-Term Infrastructure Plan</t>
  </si>
  <si>
    <t xml:space="preserve">M126</t>
  </si>
  <si>
    <t xml:space="preserve">Ensuring that Canadians have access to free, up-to-date and high-quality flood hazard maps by investing and working with provinces and territories to increase Canada’s resilience to flooding by expanding the Flood Hazard Identification Mapping Program</t>
  </si>
  <si>
    <t xml:space="preserve">Government of Canada Adaptation Action Plan - Canada.ca</t>
  </si>
  <si>
    <t xml:space="preserve">M127</t>
  </si>
  <si>
    <t xml:space="preserve">Natural Infrastructure Fund supports projects that use natural or hybrid approaches to protect the natural environment, support healthy and resilient communities, and contribute to economic growth and jobs</t>
  </si>
  <si>
    <t xml:space="preserve">Housing, Infrastructure and Communities Canada - Natural Infrastructure Fund</t>
  </si>
  <si>
    <t xml:space="preserve">M128</t>
  </si>
  <si>
    <t xml:space="preserve">Investment planned on renaturing towns and villages as part of the Green Fund scheme, a driving force for projects promoting ecological transition.</t>
  </si>
  <si>
    <t xml:space="preserve">M129</t>
  </si>
  <si>
    <t xml:space="preserve">The allocation criteria aim to support rural districts whose region is covered by a significant proportion of protected areas or is adjacent to a marine protected area.</t>
  </si>
  <si>
    <t xml:space="preserve">M13</t>
  </si>
  <si>
    <t xml:space="preserve">Funding to support creation of new wetland habitats across catchments</t>
  </si>
  <si>
    <t xml:space="preserve">M130</t>
  </si>
  <si>
    <t xml:space="preserve">The National Program for Ecological Corridors supports the identification and recognition of ecological corridors in key areas across Canada</t>
  </si>
  <si>
    <t xml:space="preserve">M131</t>
  </si>
  <si>
    <t xml:space="preserve">The CIB has allocated investments areas ioncluding green infrastructure</t>
  </si>
  <si>
    <t xml:space="preserve">En4-460-2022-eng.pdf</t>
  </si>
  <si>
    <t xml:space="preserve">M132</t>
  </si>
  <si>
    <t xml:space="preserve">ERDF allocation for returning nature to urban fabric</t>
  </si>
  <si>
    <t xml:space="preserve">MITECO continues its commitment to the renaturalization of cities with the approval of 12 new projects for 39.3 million euros</t>
  </si>
  <si>
    <t xml:space="preserve">M133</t>
  </si>
  <si>
    <t xml:space="preserve">Support the establishment, expansion and enhancement of National Parks and Nature Reserves</t>
  </si>
  <si>
    <t xml:space="preserve">M134</t>
  </si>
  <si>
    <t xml:space="preserve">Investment under the EU Just Transition Fund (Ireland) for bioeconomy projects (2026. Includes material science, bio‑char, and bio‑based applications with relevance to construction</t>
  </si>
  <si>
    <t xml:space="preserve">M135</t>
  </si>
  <si>
    <t xml:space="preserve">In 2023, the EIB invested in Portugal under its sustainable cities and regions public policy goal</t>
  </si>
  <si>
    <t xml:space="preserve">EIB boosts investment commitments in Portugal with a focus on companies and green transition</t>
  </si>
  <si>
    <t xml:space="preserve">M136</t>
  </si>
  <si>
    <t xml:space="preserve">Judicial buildings renovated with sustainable materials and anti-seismic measures</t>
  </si>
  <si>
    <t xml:space="preserve">Efficiency of judicial buildings - Italia Domani</t>
  </si>
  <si>
    <t xml:space="preserve">M137</t>
  </si>
  <si>
    <t xml:space="preserve">Increased digitalisation of national parks and marine reserves to better protect the local area and natural habitats</t>
  </si>
  <si>
    <t xml:space="preserve">Digitisation of national parks - Italia Domani</t>
  </si>
  <si>
    <t xml:space="preserve">M138</t>
  </si>
  <si>
    <t xml:space="preserve">Plant 4.5 million trees and shrubs, create 4,500 hectares of new forests, transplant at least 3.5 million trees to their final destination, preserve and enhance local biodiversity to improve the quality of life and air in 14 metropolitan cities, increasingly exposed to air pollution, the impact of climate change and loss of biodiversity, with evident negative effects on the well-being and health of citizens.</t>
  </si>
  <si>
    <t xml:space="preserve">Protection and enhancement of urban and suburban green areas - Italia Domani</t>
  </si>
  <si>
    <t xml:space="preserve">M139</t>
  </si>
  <si>
    <t xml:space="preserve">Reactivate natural processes and encourage the recovery of diversity in the basin of the most important Italian river, a nerve centre for the economy but compromised by excavations, pollution, land use and excessive canalisation, which have increased the hydrogeological risk and devastated natural habitats.</t>
  </si>
  <si>
    <t xml:space="preserve">Restoration of River Po area - Italia Domani</t>
  </si>
  <si>
    <t xml:space="preserve">M14</t>
  </si>
  <si>
    <t xml:space="preserve">Investing in and improving and restoring our peatlands, supporting us in our long-term ambitions to unblock delivery for up to 23MtCO2e savings by 2050.</t>
  </si>
  <si>
    <t xml:space="preserve">M140</t>
  </si>
  <si>
    <t xml:space="preserve">The investment aims to regenerate and redevelop the historic parks and gardens of Italian cities, in particular by enhancing and highlighting the cultural heritage within them, to improve the quality of life of citizens and create new poles of attraction, including tourism.</t>
  </si>
  <si>
    <t xml:space="preserve">Programs to enhance the identity of places: historic parks and gardens Italy tomorrow</t>
  </si>
  <si>
    <t xml:space="preserve">M141</t>
  </si>
  <si>
    <t xml:space="preserve">The objective of the investment is to build new public housing, reducing housing difficulties, redeveloping degraded areas and focusing on sustainability and green innovation.</t>
  </si>
  <si>
    <t xml:space="preserve">Innovative Programme for the Quality of Living - Italia Domani</t>
  </si>
  <si>
    <t xml:space="preserve">M142</t>
  </si>
  <si>
    <t xml:space="preserve">Create GBP DEFRA-UKRI joint research initiative to support adaptation action with research innovation</t>
  </si>
  <si>
    <t xml:space="preserve">M143</t>
  </si>
  <si>
    <t xml:space="preserve">Nature-based solutions are a key part of our approach to mitigating flood risk and coastal erosion. We will invest in natural flood management over 10 years</t>
  </si>
  <si>
    <t xml:space="preserve">M144</t>
  </si>
  <si>
    <t xml:space="preserve">We inherited flood assets in their worst condition on record, with 92% of the Environment Agency’s 38,000 high consequence assets at required condition, which is why an additional amount is being re-prioritised into asset maintenance , ensuring an additional 14,500 properties will have their expected level of protection maintained or restored</t>
  </si>
  <si>
    <t xml:space="preserve">M145</t>
  </si>
  <si>
    <t xml:space="preserve">Better protect 52,000 properties from flooding by March 2026</t>
  </si>
  <si>
    <t xml:space="preserve">Flood and coastal erosion risk management: an investment plan for 2021 to 2027 - GOV.UK</t>
  </si>
  <si>
    <t xml:space="preserve">M146</t>
  </si>
  <si>
    <t xml:space="preserve">New 6-year flood and coastal defence investment programme in England between 2021 and 2027</t>
  </si>
  <si>
    <t xml:space="preserve">M147</t>
  </si>
  <si>
    <t xml:space="preserve">Disaster mitigation and adaptation fund for structural and natural infrastructure projects to reduce disaster impacts. Initial launch in 2018 over 10 years, with a renewal for 12 years and a top up in 2021.</t>
  </si>
  <si>
    <t xml:space="preserve">Housing, Infrastructure and Communities Canada - Disaster Mitigation and Adaptation Fund: Overview</t>
  </si>
  <si>
    <t xml:space="preserve">M148</t>
  </si>
  <si>
    <t xml:space="preserve">Flood Hazard Identification and mapping program to update/expand flood mapping across Canada.</t>
  </si>
  <si>
    <t xml:space="preserve">Flood Hazard Identification and Mapping Program - Natural Resources Canada</t>
  </si>
  <si>
    <t xml:space="preserve">M149</t>
  </si>
  <si>
    <t xml:space="preserve">Projects that leverage Nature-based solutions and contribute biodiversity benefits.</t>
  </si>
  <si>
    <t xml:space="preserve">M15</t>
  </si>
  <si>
    <t xml:space="preserve">Investment over 5 years in the Freshwater Action Plan</t>
  </si>
  <si>
    <t xml:space="preserve">Meaningful Water Policy and Governance Reform in Canada | Department of Economic and Social Affairs</t>
  </si>
  <si>
    <t xml:space="preserve">M150</t>
  </si>
  <si>
    <t xml:space="preserve">Fonds Barnier is a fund to prevent major natural disasters including floods, landslides, coastal erosion, earthquakes, etc… as part of PNACC</t>
  </si>
  <si>
    <t xml:space="preserve">Le gouvernement lance un nouveau plan national d’adaptation au changement climatique | Ministères Aménagement du territoire Transition écologique</t>
  </si>
  <si>
    <t xml:space="preserve">M151</t>
  </si>
  <si>
    <t xml:space="preserve">Prevention of soil shrink-swell risk as part of PNACC</t>
  </si>
  <si>
    <t xml:space="preserve">M152</t>
  </si>
  <si>
    <t xml:space="preserve">Credits for water agencies going towards adaptation, of which 40% is going towards nature-based solutions as part of PNACC</t>
  </si>
  <si>
    <t xml:space="preserve">M153</t>
  </si>
  <si>
    <t xml:space="preserve">Fonds vert credits going towards adaptation as part of PNACC</t>
  </si>
  <si>
    <t xml:space="preserve">M154</t>
  </si>
  <si>
    <t xml:space="preserve">Recovery and Resilience Plan includes large-scale investment in prevention and resilience, including flood risk management, wildfire prevention, water security and climate resilient infrastructure.</t>
  </si>
  <si>
    <t xml:space="preserve">Spain's National Recovery and Resilience Plan: Latest state of play | Think Tank | European Parliament</t>
  </si>
  <si>
    <t xml:space="preserve">M155</t>
  </si>
  <si>
    <t xml:space="preserve">National flood protection programme cofinances large-scale flood prevention including dike relocation, flood retention areas, and floodplain restoration. (value is annual budget)</t>
  </si>
  <si>
    <t xml:space="preserve">Flood prevention | Umweltbundesamt</t>
  </si>
  <si>
    <t xml:space="preserve">M156</t>
  </si>
  <si>
    <t xml:space="preserve">EIB financing to two water management associations for flood protection and climate resilient water systems</t>
  </si>
  <si>
    <t xml:space="preserve">Germany: €500 million for flood protection and climate adaptation</t>
  </si>
  <si>
    <t xml:space="preserve">M157</t>
  </si>
  <si>
    <t xml:space="preserve">CFRAM programme and flood relief schemes</t>
  </si>
  <si>
    <t xml:space="preserve">CFRAM Programme</t>
  </si>
  <si>
    <t xml:space="preserve">M158</t>
  </si>
  <si>
    <t xml:space="preserve">Funding for flood mitigation works and coastal protection scheme per project.</t>
  </si>
  <si>
    <t xml:space="preserve">Minister Moran announces an increase in funding supports available to Local Authorities under the OPW Minor Works Scheme</t>
  </si>
  <si>
    <t xml:space="preserve">M159</t>
  </si>
  <si>
    <t xml:space="preserve">Ring-fenced funds for urgent river blockages and storm-related works.</t>
  </si>
  <si>
    <t xml:space="preserve">M16</t>
  </si>
  <si>
    <t xml:space="preserve">Enhanced nature legacy fund to conserve land and inland waters</t>
  </si>
  <si>
    <t xml:space="preserve">NBSAP </t>
  </si>
  <si>
    <t xml:space="preserve">M160</t>
  </si>
  <si>
    <t xml:space="preserve">Lisbon drainage master plan including the construction of major drainage tunnels and flood infrastructure (supported by 140m in EIB loans)</t>
  </si>
  <si>
    <t xml:space="preserve">Building flood resilience: The Lisbon Drainage Master Plan - Green Forum</t>
  </si>
  <si>
    <t xml:space="preserve">M161</t>
  </si>
  <si>
    <t xml:space="preserve">Pro-rios national river restoration programme including 80 interventions covering 1000km of rivers to reduce flood risk, restoring ecosystems and improving climate resilience.</t>
  </si>
  <si>
    <t xml:space="preserve">Pró-Rios: Governo investe 187 milhões de euros no restauro ecológico de rios e ribeiras - XXV Governo Constitucional</t>
  </si>
  <si>
    <t xml:space="preserve">M162</t>
  </si>
  <si>
    <t xml:space="preserve">Rural fire prevention and operation system to expand vegetation clearance, emergency support for landowners, and reinforced firefighting capacity following storm damage</t>
  </si>
  <si>
    <t xml:space="preserve">Government invests 52 million euros in strengthening fire prevention - XXIV Constitutional Government</t>
  </si>
  <si>
    <t xml:space="preserve">M163</t>
  </si>
  <si>
    <t xml:space="preserve">Hydrogeological risk interventions to secure areas at hydrogeological risk including flood mitigation works, river restoration, repair of damaged infrastructure following major flood events.</t>
  </si>
  <si>
    <t xml:space="preserve">Intervention to secure an area at hydrogeological risk - Reforms and Investments</t>
  </si>
  <si>
    <t xml:space="preserve">M164</t>
  </si>
  <si>
    <t xml:space="preserve">Reduce seismic vulnerability in places of worship including protecting places of worship from damage from earthquakes, restore the Fund for Religious Buildings Heritage, make deposits to allocate to art works that have been involved by earthquakes.</t>
  </si>
  <si>
    <t xml:space="preserve">Earthquake safety in places of worship, restoration of the cultural heritage of the Fund for Religious Buildings (FEC) and recovery of artistic sites (Art Recovery)</t>
  </si>
  <si>
    <t xml:space="preserve">M165</t>
  </si>
  <si>
    <t xml:space="preserve">Improve structural safety from an anti-seismic perspective in 84 hospitals identified during an inspection conducted by the Ministry of Health.</t>
  </si>
  <si>
    <t xml:space="preserve">Towards new safe and sustainable hospitals - Italia Domani</t>
  </si>
  <si>
    <t xml:space="preserve">M166</t>
  </si>
  <si>
    <t xml:space="preserve">Long term flood resilience investment, expanding rainwater drainage capacity by 700%, designed to handle extreme rainfalle vents for the next 100 years, including 36km of major tunnels and pipelines, covering all districts of Dubai.</t>
  </si>
  <si>
    <t xml:space="preserve">AED</t>
  </si>
  <si>
    <t xml:space="preserve">Dubai 2040 | Mohammed bin Rashid approves AED30 billion 'Tasreef' project</t>
  </si>
  <si>
    <t xml:space="preserve">M167</t>
  </si>
  <si>
    <t xml:space="preserve">Waste reforms, which include an overhaul of collection and packaging regimes, to generate investment in the circular economy</t>
  </si>
  <si>
    <t xml:space="preserve">M168</t>
  </si>
  <si>
    <t xml:space="preserve">The Smart Sustainable Plastic Packaging Challenge (SSPP) contributed to the UK’s drive for clean growth and industrial decarbonisation by funding ground-breaking research and innovation to make plastic packaging fit for a sustainable future.</t>
  </si>
  <si>
    <t xml:space="preserve">https://www.ukri.org/what-we-do/browse-our-areas-of-investment-and-support/smart-sustainable-plastic-packaging/</t>
  </si>
  <si>
    <t xml:space="preserve">M169</t>
  </si>
  <si>
    <t xml:space="preserve">Fund the UK Shipping Office for Reducing Emissions (UK SHORE) programme by providing research and development funding to accelerate technologies necessary to addressing air quality impacts and supporting coastal communities and green growth.</t>
  </si>
  <si>
    <t xml:space="preserve">M17</t>
  </si>
  <si>
    <t xml:space="preserve">Marine Conservation Fund to protect marine areas</t>
  </si>
  <si>
    <t xml:space="preserve">M170</t>
  </si>
  <si>
    <t xml:space="preserve">Our maintenance programme, including track improvements and continual rail grinding to remove defects on the rail surface, helps to reduce noise and vibration.</t>
  </si>
  <si>
    <t xml:space="preserve">Reducing noise &amp; vibration - Transport for London</t>
  </si>
  <si>
    <t xml:space="preserve">M171</t>
  </si>
  <si>
    <t xml:space="preserve">Innovations to reduce plastic by SMEs via Canadian Plastics Innovation Challenges</t>
  </si>
  <si>
    <t xml:space="preserve">Government of Canada invests to support Canadian innovators to find ways to reduce plastic pollution - Canada.ca</t>
  </si>
  <si>
    <t xml:space="preserve">M172</t>
  </si>
  <si>
    <t xml:space="preserve">Prize funding for delivering novel solutions to reduce food loss and waste across the supply chain.</t>
  </si>
  <si>
    <t xml:space="preserve">M173</t>
  </si>
  <si>
    <t xml:space="preserve">Circular Economy Fund supporting the implementation of the waste and circular economy policy in France.</t>
  </si>
  <si>
    <t xml:space="preserve">Funding - ADEME</t>
  </si>
  <si>
    <t xml:space="preserve">M174</t>
  </si>
  <si>
    <t xml:space="preserve">Investment scheme to support chemical recycling of plastic waste</t>
  </si>
  <si>
    <t xml:space="preserve">IP_25_387_EN.pdf</t>
  </si>
  <si>
    <t xml:space="preserve">M175</t>
  </si>
  <si>
    <t xml:space="preserve">Lactips, a French company specializing in biodegradable polymers, has raised funding supported by the SPI fund, managed by Bpifrance for the French government as part of France 2030</t>
  </si>
  <si>
    <t xml:space="preserve">Private equity</t>
  </si>
  <si>
    <t xml:space="preserve">Lactips Raises €16M for Global Expansion of Biodegradable Polymer</t>
  </si>
  <si>
    <t xml:space="preserve">M176</t>
  </si>
  <si>
    <t xml:space="preserve">Second Circular Economy Action Plan with 105 measures structured around production, consumption, waste, secondary raw materials and water reuse and purification.</t>
  </si>
  <si>
    <t xml:space="preserve">Circular Econnomy Action Plan 2026-2030</t>
  </si>
  <si>
    <t xml:space="preserve">M177</t>
  </si>
  <si>
    <t xml:space="preserve">EIB and PackBenefit have signed a €13m venture debt agreement to finance a new production plant, as well as research and development projects for sustainable food packaging solutions.</t>
  </si>
  <si>
    <t xml:space="preserve">Venture capital</t>
  </si>
  <si>
    <t xml:space="preserve">Spain: EIB agrees venture debt financing with PackBenefit to accelerate rollout of leading sustainable food packaging technology</t>
  </si>
  <si>
    <t xml:space="preserve">M178</t>
  </si>
  <si>
    <t xml:space="preserve">Funded by €8.5m from the Horizon Europe programme, the Be-UP project aims to develop pioneering methods for the synthesis and industrial processing (extrusion, injection moulding, and thermoforming) of biodegradable packaging obtained from bio-based materials.</t>
  </si>
  <si>
    <t xml:space="preserve">Biodegradable packaging for a sustainable Europe</t>
  </si>
  <si>
    <t xml:space="preserve">M179</t>
  </si>
  <si>
    <t xml:space="preserve">Spanish Government Allocates 13.1 Million Euros to Combat Noise Pollution Near Marbella. The primary objective is to decrease noise levels by installing 28 sound-proofing screens.</t>
  </si>
  <si>
    <t xml:space="preserve">Unveiling a 13-Million-Euro Solution to Noise Pollution on Costa del Sol’s Iconic AP-7 Motor – Latest Marbella News</t>
  </si>
  <si>
    <t xml:space="preserve">M18</t>
  </si>
  <si>
    <t xml:space="preserve">Funding over five years to expand marine protected and conserved areas, including establishing new 
sites and advancing agreements with Indigenous partners to support conservation and reconciliation.</t>
  </si>
  <si>
    <t xml:space="preserve">M180</t>
  </si>
  <si>
    <t xml:space="preserve">Funding from the Circular Economy Fund to support a wide range of initiatives aimed at advancing Ireland’s transition to a circular economy.</t>
  </si>
  <si>
    <t xml:space="preserve">€27 million to accelerate Ireland’s circular economy transition - Grants and Funding</t>
  </si>
  <si>
    <t xml:space="preserve">M181</t>
  </si>
  <si>
    <t xml:space="preserve">The Office of Government Procurement (OGP) launched a new framework in 2024 that allows public bodies to purchase remanufactured laptops. The contract fully supports the circular economy objectives set out in the Green Public Procurement Strategy and Action Plan 2024- 2027</t>
  </si>
  <si>
    <t xml:space="preserve">Whole_of_Government_Circular_Economy_Strategy_2026-2028_-_Public_Consultation.pdf</t>
  </si>
  <si>
    <t xml:space="preserve">M182</t>
  </si>
  <si>
    <t xml:space="preserve">A cross-border partnership aimed at improving air quality across the island of Ireland has been awarded €6.5 million in funding through the PEACEPLUS programme.</t>
  </si>
  <si>
    <t xml:space="preserve">€6.5m grant to fund cross-border air quality project in Ireland - AirQualityNews</t>
  </si>
  <si>
    <t xml:space="preserve">M183</t>
  </si>
  <si>
    <t xml:space="preserve">Dublin Airport (daa) has committed over €18 million to noise‑reduction measures for nearby communitie</t>
  </si>
  <si>
    <t xml:space="preserve">Daa spends €18m on buying out homes, noise insulation</t>
  </si>
  <si>
    <t xml:space="preserve">M184</t>
  </si>
  <si>
    <t xml:space="preserve">Boosting the circular economy and carbon neutrality: investment promotes the recovery of waste, reduces landfill and contributes to meeting the goals of PERSU 2030 and the European Union.</t>
  </si>
  <si>
    <t xml:space="preserve">30 million euros to strengthen recycling and waste recovery - XXV Constitutional Government</t>
  </si>
  <si>
    <t xml:space="preserve">M185</t>
  </si>
  <si>
    <t xml:space="preserve">€1.7mn proposed investment plan to Noise Acition Plan 2029 to address road traffic noise</t>
  </si>
  <si>
    <t xml:space="preserve">Lusa - Business News - Portugal: Porto city council to debate €1.7M traffic noise reduction plan</t>
  </si>
  <si>
    <t xml:space="preserve">M186</t>
  </si>
  <si>
    <t xml:space="preserve">Lisbon Airport Noise Mitigation: Government Funds Home Soundproofing in Affected Neighborhoods</t>
  </si>
  <si>
    <t xml:space="preserve">Lisbon Airport Noise Mitigation: Government Funds Home Soundproofing in Affected Neighborhoods | Real Estate Lisbon News</t>
  </si>
  <si>
    <t xml:space="preserve">M187</t>
  </si>
  <si>
    <t xml:space="preserve">Better waste management thanks to modern, state-of-the-art facilities and the fight against illegal disposal</t>
  </si>
  <si>
    <t xml:space="preserve">Circular economy "flagship" projects - Italia Domani</t>
  </si>
  <si>
    <t xml:space="preserve">M188</t>
  </si>
  <si>
    <t xml:space="preserve">Improve and digitize the management of urban waste and strengthen the infrastructure for separate collection, both by modernizing treatment plants and by creating new ones, so as to bridge the gap between the regions of the North and those of the Center-South.</t>
  </si>
  <si>
    <t xml:space="preserve">Standardised waste management throughout the country</t>
  </si>
  <si>
    <t xml:space="preserve">M189</t>
  </si>
  <si>
    <t xml:space="preserve">Saudi-Arabia anticipates the construction and operation of a total of 1,329 new recycling and waste processing facilities by 2035. One of the MWAN’s primary tasks is to attract private investors, with a focus on Public-Private Partnership (PPP) projects.</t>
  </si>
  <si>
    <t xml:space="preserve">Circular Economy in the Kingdom of Saudi-Arabia</t>
  </si>
  <si>
    <t xml:space="preserve">M19</t>
  </si>
  <si>
    <t xml:space="preserve">Investment to ratify the High Seas Treaty and advance the international commitment to protect 30 per cent of the world’s oceans.</t>
  </si>
  <si>
    <t xml:space="preserve">M20</t>
  </si>
  <si>
    <t xml:space="preserve">Wetland conservation over 5 years for conservation, enhancement, and restoration 
and stormwater management.</t>
  </si>
  <si>
    <t xml:space="preserve">M21</t>
  </si>
  <si>
    <t xml:space="preserve">Water saving plan - emergency fund to fix leaks and upgrade networks in most at risk areas</t>
  </si>
  <si>
    <t xml:space="preserve">French water saving plan to combat drought • Water News Europe</t>
  </si>
  <si>
    <t xml:space="preserve">M22</t>
  </si>
  <si>
    <t xml:space="preserve">Investment to help farmers adapt to new technology such as intelligent drip systems</t>
  </si>
  <si>
    <t xml:space="preserve">M23</t>
  </si>
  <si>
    <t xml:space="preserve">Budget for water agencies would increase thereby increasing water economy</t>
  </si>
  <si>
    <t xml:space="preserve">Unrestricted funds</t>
  </si>
  <si>
    <t xml:space="preserve">M24</t>
  </si>
  <si>
    <t xml:space="preserve">For the preservation of aquatic areas by water agency</t>
  </si>
  <si>
    <t xml:space="preserve">eau_fr_web_cle07e783.pdf</t>
  </si>
  <si>
    <t xml:space="preserve">M25</t>
  </si>
  <si>
    <t xml:space="preserve">Investment for irrigation systems</t>
  </si>
  <si>
    <t xml:space="preserve">Spain Unveils 2027 Water Plan Focused on Droughts and Floods</t>
  </si>
  <si>
    <t xml:space="preserve">M26</t>
  </si>
  <si>
    <t xml:space="preserve">Investment for water-cycle digitalisation</t>
  </si>
  <si>
    <t xml:space="preserve">M27</t>
  </si>
  <si>
    <t xml:space="preserve">Investment for health and treatment infrastructure</t>
  </si>
  <si>
    <t xml:space="preserve">M28</t>
  </si>
  <si>
    <t xml:space="preserve">Investment for desalination and reuse projects</t>
  </si>
  <si>
    <t xml:space="preserve">M29</t>
  </si>
  <si>
    <t xml:space="preserve">Investment for water supply improvements</t>
  </si>
  <si>
    <t xml:space="preserve">M30</t>
  </si>
  <si>
    <t xml:space="preserve">Investment to support flood risk management, restoration and protection of public hydraulic infrastructure</t>
  </si>
  <si>
    <t xml:space="preserve">M31</t>
  </si>
  <si>
    <t xml:space="preserve">Investment in sewerage system</t>
  </si>
  <si>
    <t xml:space="preserve">nationale_wasserstrategie_2023_en_bf.pdf</t>
  </si>
  <si>
    <t xml:space="preserve">M32</t>
  </si>
  <si>
    <t xml:space="preserve">Investment in fair water availability via peatland and wetland restoration</t>
  </si>
  <si>
    <t xml:space="preserve">Germany is promoting peatland restoration as part of national climate strategy | Agroberichten Buitenland</t>
  </si>
  <si>
    <t xml:space="preserve">M33</t>
  </si>
  <si>
    <t xml:space="preserve">Peatland restoration funded through EU national Recovery and Resilience Plan</t>
  </si>
  <si>
    <t xml:space="preserve">M34</t>
  </si>
  <si>
    <t xml:space="preserve">Governmental capital allocation to water sector</t>
  </si>
  <si>
    <t xml:space="preserve">Water Action Plan</t>
  </si>
  <si>
    <t xml:space="preserve">M35</t>
  </si>
  <si>
    <t xml:space="preserve">Reduction in water leakage</t>
  </si>
  <si>
    <t xml:space="preserve">M36</t>
  </si>
  <si>
    <t xml:space="preserve">Farming for Water;' investment to project water quality and run-off from farmland</t>
  </si>
  <si>
    <t xml:space="preserve">M37</t>
  </si>
  <si>
    <t xml:space="preserve">Investment euros to Uisce Eireann for national water and wastewater infrastructure</t>
  </si>
  <si>
    <t xml:space="preserve">M38</t>
  </si>
  <si>
    <t xml:space="preserve">Budget to fund water infrastructure reallocated to address drought resilience and supply security.</t>
  </si>
  <si>
    <t xml:space="preserve">Portugal Reallocates €2.5B EU Funds: Housing Crisis 2025</t>
  </si>
  <si>
    <t xml:space="preserve">M39</t>
  </si>
  <si>
    <t xml:space="preserve">Budget for national water strategy</t>
  </si>
  <si>
    <t xml:space="preserve">Government unveils 5 billion euro water management strategy – ECO News</t>
  </si>
  <si>
    <t xml:space="preserve">M40</t>
  </si>
  <si>
    <t xml:space="preserve">River restoration funding</t>
  </si>
  <si>
    <t xml:space="preserve">Impact investors</t>
  </si>
  <si>
    <t xml:space="preserve">Flood Fight: Portugal to Invest 187 Million Euros in Historic River Restoration Plan - Noticias Ambientales</t>
  </si>
  <si>
    <t xml:space="preserve">M41</t>
  </si>
  <si>
    <t xml:space="preserve">Estimated investment required to reduce losses/improve infrastructure</t>
  </si>
  <si>
    <t xml:space="preserve">Water investments in Italy: €40 billion by 2029, over €3 billion in net benefits by 2050. The Agici study - FIRSTonline</t>
  </si>
  <si>
    <t xml:space="preserve">M42</t>
  </si>
  <si>
    <t xml:space="preserve">National recovery and resilience plan (EU funded) allocated to 124 primary water-infrastructure projects for water-supply security</t>
  </si>
  <si>
    <t xml:space="preserve">Ministerial Decree number 517 of 16/12/2021 | Ministry of Infrastructure and Transport</t>
  </si>
  <si>
    <t xml:space="preserve">M43</t>
  </si>
  <si>
    <t xml:space="preserve">Stop the degradation of Mediterranean ecosystems and recover at least 20 per cent of the seabed and marine habitats in Italian waters by 2026, in order to achieve the European objectives of protecting diversity and bolster the sustainability of fundamental sectors such as fishing, tourism, food and blue growth.</t>
  </si>
  <si>
    <t xml:space="preserve">Restoring and protecting the seabed and marine habitats - Italia Domani</t>
  </si>
  <si>
    <t xml:space="preserve">M44</t>
  </si>
  <si>
    <t xml:space="preserve">A more digital water network to reduce leakages and optimise water use</t>
  </si>
  <si>
    <t xml:space="preserve">Reduction of leakages in water distribution networks, including digitisation and tracking of networks</t>
  </si>
  <si>
    <t xml:space="preserve">M45</t>
  </si>
  <si>
    <t xml:space="preserve">Mega infrastructure plan with focus on water infrastructure and stormwater networks</t>
  </si>
  <si>
    <t xml:space="preserve">Qatar to spend $22bn on water infrastructure works | AGBI</t>
  </si>
  <si>
    <t xml:space="preserve">M46</t>
  </si>
  <si>
    <t xml:space="preserve">Saudi Arabia has announced more than 60 water projects worth SAR 35 billion (USD 9.33 billion), strengthening the Kingdom’s position as the world’s largest desalination market.</t>
  </si>
  <si>
    <t xml:space="preserve">Equity and debt finance mix</t>
  </si>
  <si>
    <t xml:space="preserve">M47</t>
  </si>
  <si>
    <t xml:space="preserve">Initial allocation 2026-2030 under Abu Dhabi Global Water Platform</t>
  </si>
  <si>
    <t xml:space="preserve">Abu Dhabi Fund for Development Launches “Abu Dhabi Global Water...</t>
  </si>
  <si>
    <t xml:space="preserve">M48</t>
  </si>
  <si>
    <t xml:space="preserve">Incentivise the planting of high-quality woodlands and trees outside of woodland between 2026 to 2027 and 2029 to 2030</t>
  </si>
  <si>
    <t xml:space="preserve">M49</t>
  </si>
  <si>
    <t xml:space="preserve">Investments into new forests will see millions of trees planted in the years ahead as part of a wider commitment to tree planting and support to the forestry sector</t>
  </si>
  <si>
    <t xml:space="preserve">M50</t>
  </si>
  <si>
    <t xml:space="preserve">Allocated to sustainable farming and Environmental Land Management schemes</t>
  </si>
  <si>
    <t xml:space="preserve">M51</t>
  </si>
  <si>
    <t xml:space="preserve">Farming and countryside programme to farmers and land managers</t>
  </si>
  <si>
    <t xml:space="preserve">M52</t>
  </si>
  <si>
    <t xml:space="preserve">Investment in fishing and coastal growth fund (2025) over 12 years for modernising UK fishing fleet, new tech and equipment</t>
  </si>
  <si>
    <t xml:space="preserve">M53</t>
  </si>
  <si>
    <t xml:space="preserve">Loan guarantees to help forestry and lumber industry to maintain and restructure operations to be more sustainable</t>
  </si>
  <si>
    <t xml:space="preserve">Measures to transform Canada’s softwood lumber industry - Natural Resources Canada</t>
  </si>
  <si>
    <t xml:space="preserve">M54</t>
  </si>
  <si>
    <t xml:space="preserve">The 2 Billion Trees (2BT) program under the Natural Climate Solutions Fund will invest up to support provinces, territories, third-party organizations (for and not-for profit) and Indigenous organizations to plant two billion trees across Canada.</t>
  </si>
  <si>
    <t xml:space="preserve">M55</t>
  </si>
  <si>
    <t xml:space="preserve">Budget starting in 2026 to renew and expand forest sector programs and enhance natural resources</t>
  </si>
  <si>
    <t xml:space="preserve">M56</t>
  </si>
  <si>
    <t xml:space="preserve">Funding over 5 years in the Sustainable Canadian Agricultural Partnership</t>
  </si>
  <si>
    <t xml:space="preserve">Sustainable Canadian Agricultural Partnership - agriculture.canada.ca</t>
  </si>
  <si>
    <t xml:space="preserve">M57</t>
  </si>
  <si>
    <t xml:space="preserve">Funding to draw on expertise of oil spill experts in Canada to respond to oil spills.</t>
  </si>
  <si>
    <t xml:space="preserve">Canada Oceans Protection Plan</t>
  </si>
  <si>
    <t xml:space="preserve">M58</t>
  </si>
  <si>
    <t xml:space="preserve">Investment  to restore vulnerable Pacific salmon populations and their habitat, support sustainable 
fishing opportunities, combat illegal fishing on the high seas, and reduce pressures on at risk stocks.</t>
  </si>
  <si>
    <t xml:space="preserve">Summary of British Columbia Salmon Restoration and Innovation Fund 2019 to 2026</t>
  </si>
  <si>
    <t xml:space="preserve">M59</t>
  </si>
  <si>
    <t xml:space="preserve">Investment over five years to stabilize and rebuild wild Atlantic Salmon populations through targeted restoration of up to 10,000 km2 of Atlantic salmon habitat and monitoring in approximately 50 rivers, and partnerships with Indigenous communities and stewardship organizations.</t>
  </si>
  <si>
    <t xml:space="preserve">M60</t>
  </si>
  <si>
    <t xml:space="preserve">Establishment of national protected areas</t>
  </si>
  <si>
    <t xml:space="preserve">M61</t>
  </si>
  <si>
    <t xml:space="preserve">Funding to protect fish and fish habitat and ensure that development in or near water is done responsibly.</t>
  </si>
  <si>
    <t xml:space="preserve">M62</t>
  </si>
  <si>
    <t xml:space="preserve">Great Bear Sea Project Financing for Permeance to support First Nations to implement Marine Protect Plan Partnership</t>
  </si>
  <si>
    <t xml:space="preserve">M63</t>
  </si>
  <si>
    <t xml:space="preserve">Rewilding and forest regeneration investment as part of Green Fund</t>
  </si>
  <si>
    <t xml:space="preserve">M64</t>
  </si>
  <si>
    <t xml:space="preserve">Investment for improvement of biodiversity in forest environments</t>
  </si>
  <si>
    <t xml:space="preserve">M65</t>
  </si>
  <si>
    <t xml:space="preserve">Amount earmarked for soil restoration from public fundings</t>
  </si>
  <si>
    <t xml:space="preserve">M66</t>
  </si>
  <si>
    <t xml:space="preserve">Amount for ecosystem restoration including agricultural ecosystems</t>
  </si>
  <si>
    <t xml:space="preserve">M67</t>
  </si>
  <si>
    <t xml:space="preserve">Investment into agro-ecology and digital agricultural research programmes targeting biodiversity-positive farming</t>
  </si>
  <si>
    <t xml:space="preserve">France 2030 | Agro-ecology and digital technology: the state invests €65 million in a new research programme | Inria</t>
  </si>
  <si>
    <t xml:space="preserve">M68</t>
  </si>
  <si>
    <t xml:space="preserve">Earmarked funding for marine environments</t>
  </si>
  <si>
    <t xml:space="preserve">M69</t>
  </si>
  <si>
    <t xml:space="preserve">National funding from EMFAF Programme for France to support sustainable and green fishing and aquaculture</t>
  </si>
  <si>
    <t xml:space="preserve">EMFAF website</t>
  </si>
  <si>
    <t xml:space="preserve">M70</t>
  </si>
  <si>
    <t xml:space="preserve">Investment for the implementation of forest strategy</t>
  </si>
  <si>
    <t xml:space="preserve">Spanish Forestry Plan 2032</t>
  </si>
  <si>
    <t xml:space="preserve">M71</t>
  </si>
  <si>
    <t xml:space="preserve">Enhancing sustainability of agricultural sector through farm modernisation</t>
  </si>
  <si>
    <t xml:space="preserve">Spain CAP Strategy</t>
  </si>
  <si>
    <t xml:space="preserve">M72</t>
  </si>
  <si>
    <t xml:space="preserve">CAP payments for farmers committing to  more ambitious actions (such 
as carbon sequestration and maintenance of landscape features).</t>
  </si>
  <si>
    <t xml:space="preserve">M73</t>
  </si>
  <si>
    <t xml:space="preserve">Interventions beneficial for climate, the environment and animal welfare, such as sustainable management of pastures, through extensive grazing and transhumance, protection of birds by limiting the use of fertilisers and pesticides or fight against erosion through cover crops and minimum tillage.</t>
  </si>
  <si>
    <t xml:space="preserve">M74</t>
  </si>
  <si>
    <t xml:space="preserve">M75</t>
  </si>
  <si>
    <t xml:space="preserve">M76</t>
  </si>
  <si>
    <t xml:space="preserve">M77</t>
  </si>
  <si>
    <t xml:space="preserve">National funding from EMFAF Programme to support Canary Island fisheries</t>
  </si>
  <si>
    <t xml:space="preserve">M78</t>
  </si>
  <si>
    <t xml:space="preserve">M79</t>
  </si>
  <si>
    <t xml:space="preserve">Cap payments Afforestation, agroforestry, fire prevention, restoration and adaptation of forests and forest activities.</t>
  </si>
  <si>
    <t xml:space="preserve">M80</t>
  </si>
  <si>
    <t xml:space="preserve">CAP payments for modernisation of farms and investment in solutions</t>
  </si>
  <si>
    <t xml:space="preserve">M81</t>
  </si>
  <si>
    <t xml:space="preserve">M82</t>
  </si>
  <si>
    <t xml:space="preserve">M83</t>
  </si>
  <si>
    <t xml:space="preserve">M84</t>
  </si>
  <si>
    <t xml:space="preserve">M85</t>
  </si>
  <si>
    <t xml:space="preserve">CAP payments for organic farming practices</t>
  </si>
  <si>
    <t xml:space="preserve">M86</t>
  </si>
  <si>
    <t xml:space="preserve">CAP payments for  management of grassland in a more nature-conserving way, such as reducing the use of pesticides and fertilisers.</t>
  </si>
  <si>
    <t xml:space="preserve">M87</t>
  </si>
  <si>
    <t xml:space="preserve">Amount for funding to Amazon Fund for reforestation</t>
  </si>
  <si>
    <t xml:space="preserve">M88</t>
  </si>
  <si>
    <t xml:space="preserve">Budget allocated over 4 years to forestry programme</t>
  </si>
  <si>
    <t xml:space="preserve">Nation Forestry Programme 2023-2027</t>
  </si>
  <si>
    <t xml:space="preserve">M89</t>
  </si>
  <si>
    <t xml:space="preserve">CAP payments for agriculture of which payments are conditional on compliance with biodiversity requirements</t>
  </si>
  <si>
    <t xml:space="preserve">M90</t>
  </si>
  <si>
    <t xml:space="preserve">ACRES - largest Agri-environment scheme allotment</t>
  </si>
  <si>
    <t xml:space="preserve">4th-national-biodiversity-action-plan.pdf</t>
  </si>
  <si>
    <t xml:space="preserve">M91</t>
  </si>
  <si>
    <t xml:space="preserve">Committed to Blue Action Fund for MPAs</t>
  </si>
  <si>
    <t xml:space="preserve">M92</t>
  </si>
  <si>
    <t xml:space="preserve">M93</t>
  </si>
  <si>
    <t xml:space="preserve">M94</t>
  </si>
  <si>
    <t xml:space="preserve">M95</t>
  </si>
  <si>
    <t xml:space="preserve">M96</t>
  </si>
  <si>
    <t xml:space="preserve">Support investment in restoring the forest areas hit by natural disasters, severe weather events or other extreme events in line with the Common Agricultural Policy’s Strategic Plan for Portugal.</t>
  </si>
  <si>
    <t xml:space="preserve">European assistance of €250M for national forests boosts Portugal’s resilience - XXV Constitutional Government</t>
  </si>
  <si>
    <t xml:space="preserve">M97</t>
  </si>
  <si>
    <t xml:space="preserve">M98</t>
  </si>
  <si>
    <t xml:space="preserve">Portion of CAP for rural development and agri-environmental interventions</t>
  </si>
  <si>
    <t xml:space="preserve">M99</t>
  </si>
  <si>
    <t xml:space="preserve">Portion of CAP for supporting biodiversity-friendly farming practises</t>
  </si>
  <si>
    <t xml:space="preserve">NBSAP goals/targets by country and sub-theme</t>
  </si>
  <si>
    <t xml:space="preserve">Complete for the country being run (Copilot Step 4). Pre-filled from the EY workbook where available.</t>
  </si>
  <si>
    <t xml:space="preserve">NBSAP goal / target reference</t>
  </si>
  <si>
    <t xml:space="preserve">Policy signal strength</t>
  </si>
  <si>
    <t xml:space="preserve">Page</t>
  </si>
  <si>
    <t xml:space="preserve">Goal 3: Water</t>
  </si>
  <si>
    <t xml:space="preserve">High</t>
  </si>
  <si>
    <t xml:space="preserve">Page 47</t>
  </si>
  <si>
    <t xml:space="preserve">Evidence log</t>
  </si>
  <si>
    <t xml:space="preserve">Evidence type: Commitment | Quantified target | Policy | Exposure | Financing or product | Partnership | Performance metric | Disclosure | Governance. Scope: Own operations | Value chain / portfolio | Products and services | External driver.</t>
  </si>
  <si>
    <t xml:space="preserve">Evidence_ID</t>
  </si>
  <si>
    <t xml:space="preserve">Page / tab</t>
  </si>
  <si>
    <t xml:space="preserve">Verbatim quote or figure (≤25 words)</t>
  </si>
  <si>
    <t xml:space="preserve">Evidence type</t>
  </si>
  <si>
    <t xml:space="preserve">Scope</t>
  </si>
  <si>
    <t xml:space="preserve">Summary</t>
  </si>
  <si>
    <t xml:space="preserve">EV-001</t>
  </si>
  <si>
    <t xml:space="preserve">p.4</t>
  </si>
  <si>
    <t xml:space="preserve">To date, it has spanned 238,494 hectares of farmland across 685 farms</t>
  </si>
  <si>
    <t xml:space="preserve">Performance metric</t>
  </si>
  <si>
    <t xml:space="preserve">Value chain / portfolio</t>
  </si>
  <si>
    <t xml:space="preserve">Evidence mapped to taxonomy</t>
  </si>
  <si>
    <t xml:space="preserve">Evidence class: Client exposure | Client action | Client position | External driver. Use XC for cross-cutting items. Column I is a helper used for confidence.</t>
  </si>
  <si>
    <t xml:space="preserve">Evidence class</t>
  </si>
  <si>
    <t xml:space="preserve">Primary SubTheme_ID</t>
  </si>
  <si>
    <t xml:space="preserve">Primary Sub_Market_ID</t>
  </si>
  <si>
    <t xml:space="preserve">Secondary SubTheme_ID</t>
  </si>
  <si>
    <t xml:space="preserve">Mapping strength</t>
  </si>
  <si>
    <t xml:space="preserve">Rationale</t>
  </si>
  <si>
    <t xml:space="preserve">First client item for this source and sub-theme (helper)</t>
  </si>
  <si>
    <t xml:space="preserve">Client action</t>
  </si>
  <si>
    <t xml:space="preserve">Direct</t>
  </si>
  <si>
    <t xml:space="preserve">Scoring rubric</t>
  </si>
  <si>
    <t xml:space="preserve">Code</t>
  </si>
  <si>
    <t xml:space="preserve">Criterion</t>
  </si>
  <si>
    <t xml:space="preserve">Weight</t>
  </si>
  <si>
    <t xml:space="preserve">What 5 / 1 means</t>
  </si>
  <si>
    <t xml:space="preserve">C1</t>
  </si>
  <si>
    <t xml:space="preserve">Materiality to client</t>
  </si>
  <si>
    <t xml:space="preserve">5 = core business line, disclosed material topic or large exposure; 1 = no identifiable relevance in sources</t>
  </si>
  <si>
    <t xml:space="preserve">C2</t>
  </si>
  <si>
    <t xml:space="preserve">Action gap</t>
  </si>
  <si>
    <t xml:space="preserve">5 = material but no disclosed action; 3 = commitments/eligibility criteria without targets; 1 = quantified nature targets with reported progress. Cap at 2 when C1 ≤ 2.</t>
  </si>
  <si>
    <t xml:space="preserve">C3</t>
  </si>
  <si>
    <t xml:space="preserve">NBSAP emphasis</t>
  </si>
  <si>
    <t xml:space="preserve">Number of NBSAP commitments for the sub-theme in the selected country (bands below)</t>
  </si>
  <si>
    <t xml:space="preserve">C4</t>
  </si>
  <si>
    <t xml:space="preserve">Regulatory and market momentum</t>
  </si>
  <si>
    <t xml:space="preserve">5 = mandatory requirements in force/confirmed; 1 = none identified in sources</t>
  </si>
  <si>
    <t xml:space="preserve">C5</t>
  </si>
  <si>
    <t xml:space="preserve">Market opportunity</t>
  </si>
  <si>
    <t xml:space="preserve">Relative rank of NBSAP commitment value within the selected country (bands below); 1 if no commitments</t>
  </si>
  <si>
    <t xml:space="preserve">Total weight</t>
  </si>
  <si>
    <t xml:space="preserve">Tiers</t>
  </si>
  <si>
    <t xml:space="preserve">High: score at least</t>
  </si>
  <si>
    <t xml:space="preserve">Medium: score at least</t>
  </si>
  <si>
    <t xml:space="preserve">Tie-break: higher C1, then higher C2, then more client evidence items.</t>
  </si>
  <si>
    <t xml:space="preserve">Confidence</t>
  </si>
  <si>
    <t xml:space="preserve">High: 3+ client items from 2+ sources with at least one Direct mapping. Medium: 1+ client items. Low: no client evidence.</t>
  </si>
  <si>
    <t xml:space="preserve">C3 bands</t>
  </si>
  <si>
    <t xml:space="preserve">Commitments (no.) at least</t>
  </si>
  <si>
    <t xml:space="preserve">Score</t>
  </si>
  <si>
    <t xml:space="preserve">C5 bands</t>
  </si>
  <si>
    <t xml:space="preserve">Relative rank at least</t>
  </si>
  <si>
    <t xml:space="preserve">Scoring and ranking</t>
  </si>
  <si>
    <t xml:space="preserve">Paste Copilot Step 5 output into the blue columns (E, F, H, P, Q, R, T, U). Everything else calculates. Sort by Rank for the slide.</t>
  </si>
  <si>
    <t xml:space="preserve">Rank</t>
  </si>
  <si>
    <t xml:space="preserve">C1 Materiality</t>
  </si>
  <si>
    <t xml:space="preserve">C2 Action gap</t>
  </si>
  <si>
    <t xml:space="preserve">C4 Regulatory &amp; market momentum</t>
  </si>
  <si>
    <t xml:space="preserve">Weighted score</t>
  </si>
  <si>
    <t xml:space="preserve">Tier</t>
  </si>
  <si>
    <t xml:space="preserve">Client evidence (no.)</t>
  </si>
  <si>
    <t xml:space="preserve">Client sources (no.)</t>
  </si>
  <si>
    <t xml:space="preserve">Direct mappings (no.)</t>
  </si>
  <si>
    <t xml:space="preserve">Evidence_IDs</t>
  </si>
  <si>
    <t xml:space="preserve">Client exposure (as disclosed)</t>
  </si>
  <si>
    <t xml:space="preserve">Sort key</t>
  </si>
  <si>
    <t xml:space="preserve">Key evidence for slide (≤12 words)</t>
  </si>
  <si>
    <t xml:space="preserve">Exposure for slide (≤4 words)</t>
  </si>
  <si>
    <t xml:space="preserve">Slide content (Copilot Prompt 7 output)</t>
  </si>
  <si>
    <t xml:space="preserve">Paste Copilot Step 7 output here (Key | Value). The Deck_Tokens tab turns this and the Scoring tab into placeholder values for the EY deck skeleton.</t>
  </si>
  <si>
    <t xml:space="preserve">Key</t>
  </si>
  <si>
    <t xml:space="preserve">Guidance</t>
  </si>
  <si>
    <t xml:space="preserve">Max characters</t>
  </si>
  <si>
    <t xml:space="preserve">Length</t>
  </si>
  <si>
    <t xml:space="preserve">Check</t>
  </si>
  <si>
    <t xml:space="preserve">cover_title</t>
  </si>
  <si>
    <t xml:space="preserve">Deck title, 8–12 words</t>
  </si>
  <si>
    <t xml:space="preserve">cover_date</t>
  </si>
  <si>
    <t xml:space="preserve">e.g. 7th October 2026</t>
  </si>
  <si>
    <t xml:space="preserve">client_name</t>
  </si>
  <si>
    <t xml:space="preserve">Full client name for the client line</t>
  </si>
  <si>
    <t xml:space="preserve">client_short</t>
  </si>
  <si>
    <t xml:space="preserve">Short name, e.g. LBG</t>
  </si>
  <si>
    <t xml:space="preserve">s1_title</t>
  </si>
  <si>
    <t xml:space="preserve">Action title ≤75 characters</t>
  </si>
  <si>
    <t xml:space="preserve">s1_section</t>
  </si>
  <si>
    <t xml:space="preserve">e.g. Executive summary: why this matters and what we found</t>
  </si>
  <si>
    <t xml:space="preserve">c1_head</t>
  </si>
  <si>
    <t xml:space="preserve">Signal card heading, ≤7 words, e.g. The UK is putting money behind nature</t>
  </si>
  <si>
    <t xml:space="preserve">c1_stat</t>
  </si>
  <si>
    <t xml:space="preserve">Leave blank to use the automatic count of national commitments</t>
  </si>
  <si>
    <t xml:space="preserve">c1_stat_text</t>
  </si>
  <si>
    <t xml:space="preserve">Leave blank for automatic text</t>
  </si>
  <si>
    <t xml:space="preserve">c1_p1_lead</t>
  </si>
  <si>
    <t xml:space="preserve">Bold lead, ≤3 words</t>
  </si>
  <si>
    <t xml:space="preserve">c1_p1</t>
  </si>
  <si>
    <t xml:space="preserve">≤8 words</t>
  </si>
  <si>
    <t xml:space="preserve">c1_p2_lead</t>
  </si>
  <si>
    <t xml:space="preserve">Bold lead</t>
  </si>
  <si>
    <t xml:space="preserve">c1_p2</t>
  </si>
  <si>
    <t xml:space="preserve">c1_p3_lead</t>
  </si>
  <si>
    <t xml:space="preserve">c1_p3</t>
  </si>
  <si>
    <t xml:space="preserve">c2_head</t>
  </si>
  <si>
    <t xml:space="preserve">Rules card heading, ≤7 words</t>
  </si>
  <si>
    <t xml:space="preserve">c2_stat</t>
  </si>
  <si>
    <t xml:space="preserve">Headline figure for regulation or market signal</t>
  </si>
  <si>
    <t xml:space="preserve">c2_stat_text</t>
  </si>
  <si>
    <t xml:space="preserve">≤10 words</t>
  </si>
  <si>
    <t xml:space="preserve">c2_p1_lead</t>
  </si>
  <si>
    <t xml:space="preserve">c2_p1</t>
  </si>
  <si>
    <t xml:space="preserve">c2_p2_lead</t>
  </si>
  <si>
    <t xml:space="preserve">c2_p2</t>
  </si>
  <si>
    <t xml:space="preserve">c2_p3_lead</t>
  </si>
  <si>
    <t xml:space="preserve">c2_p3</t>
  </si>
  <si>
    <t xml:space="preserve">c3_head</t>
  </si>
  <si>
    <t xml:space="preserve">Client card heading, ≤7 words</t>
  </si>
  <si>
    <t xml:space="preserve">c3_stat</t>
  </si>
  <si>
    <t xml:space="preserve">Client headline exposure figure</t>
  </si>
  <si>
    <t xml:space="preserve">c3_stat_text</t>
  </si>
  <si>
    <t xml:space="preserve">c3_p1_lead</t>
  </si>
  <si>
    <t xml:space="preserve">c3_p1</t>
  </si>
  <si>
    <t xml:space="preserve">c3_p2_lead</t>
  </si>
  <si>
    <t xml:space="preserve">c3_p2</t>
  </si>
  <si>
    <t xml:space="preserve">c3_p3_lead</t>
  </si>
  <si>
    <t xml:space="preserve">c3_p3</t>
  </si>
  <si>
    <t xml:space="preserve">s1_found_note</t>
  </si>
  <si>
    <t xml:space="preserve">One line under the top-4 priorities, ≤25 words</t>
  </si>
  <si>
    <t xml:space="preserve">s1_sowhat</t>
  </si>
  <si>
    <t xml:space="preserve">One sentence, ≤25 words</t>
  </si>
  <si>
    <t xml:space="preserve">s1_footnote</t>
  </si>
  <si>
    <t xml:space="preserve">Sources, 1–2 lines</t>
  </si>
  <si>
    <t xml:space="preserve">s1_notes</t>
  </si>
  <si>
    <t xml:space="preserve">Sources, one per line</t>
  </si>
  <si>
    <t xml:space="preserve">s2_title</t>
  </si>
  <si>
    <t xml:space="preserve">s2_section</t>
  </si>
  <si>
    <t xml:space="preserve">e.g. Opportunity priority vs client exposure</t>
  </si>
  <si>
    <t xml:space="preserve">exp_unit</t>
  </si>
  <si>
    <t xml:space="preserve">e.g. £bn, 31 Dec 2025</t>
  </si>
  <si>
    <t xml:space="preserve">t1_value</t>
  </si>
  <si>
    <t xml:space="preserve">Exposure figure, e.g. £12.1bn or Not split</t>
  </si>
  <si>
    <t xml:space="preserve">t1_label</t>
  </si>
  <si>
    <t xml:space="preserve">Sector, ≤6 words</t>
  </si>
  <si>
    <t xml:space="preserve">t1_links</t>
  </si>
  <si>
    <t xml:space="preserve">Linked priority ranks, e.g. #3 #4 #7</t>
  </si>
  <si>
    <t xml:space="preserve">t1_flag</t>
  </si>
  <si>
    <t xml:space="preserve">e.g. Nature priority / Not nature priority</t>
  </si>
  <si>
    <t xml:space="preserve">t2_value</t>
  </si>
  <si>
    <t xml:space="preserve">t2_label</t>
  </si>
  <si>
    <t xml:space="preserve">t2_links</t>
  </si>
  <si>
    <t xml:space="preserve">t2_flag</t>
  </si>
  <si>
    <t xml:space="preserve">t3_value</t>
  </si>
  <si>
    <t xml:space="preserve">t3_label</t>
  </si>
  <si>
    <t xml:space="preserve">t3_links</t>
  </si>
  <si>
    <t xml:space="preserve">t3_flag</t>
  </si>
  <si>
    <t xml:space="preserve">t4_value</t>
  </si>
  <si>
    <t xml:space="preserve">t4_label</t>
  </si>
  <si>
    <t xml:space="preserve">t4_links</t>
  </si>
  <si>
    <t xml:space="preserve">t4_flag</t>
  </si>
  <si>
    <t xml:space="preserve">t5_value</t>
  </si>
  <si>
    <t xml:space="preserve">t5_label</t>
  </si>
  <si>
    <t xml:space="preserve">t5_links</t>
  </si>
  <si>
    <t xml:space="preserve">t5_flag</t>
  </si>
  <si>
    <t xml:space="preserve">t6_value</t>
  </si>
  <si>
    <t xml:space="preserve">t6_label</t>
  </si>
  <si>
    <t xml:space="preserve">t6_links</t>
  </si>
  <si>
    <t xml:space="preserve">t6_flag</t>
  </si>
  <si>
    <t xml:space="preserve">s2_sowhat</t>
  </si>
  <si>
    <t xml:space="preserve">One sentence, ≤30 words</t>
  </si>
  <si>
    <t xml:space="preserve">s2_footnote</t>
  </si>
  <si>
    <t xml:space="preserve">Weights and sources, ≤2 lines</t>
  </si>
  <si>
    <t xml:space="preserve">s2_notes</t>
  </si>
  <si>
    <t xml:space="preserve">s3_title</t>
  </si>
  <si>
    <t xml:space="preserve">s3_section</t>
  </si>
  <si>
    <t xml:space="preserve">How EY can assist</t>
  </si>
  <si>
    <t xml:space="preserve">s3_card1_title</t>
  </si>
  <si>
    <t xml:space="preserve">≤5 words</t>
  </si>
  <si>
    <t xml:space="preserve">s3_card1_score</t>
  </si>
  <si>
    <t xml:space="preserve">e.g. 4.5</t>
  </si>
  <si>
    <t xml:space="preserve">s3_card1_evidence</t>
  </si>
  <si>
    <t xml:space="preserve">≤20 words</t>
  </si>
  <si>
    <t xml:space="preserve">s3_card1_support</t>
  </si>
  <si>
    <t xml:space="preserve">s3_card1_output</t>
  </si>
  <si>
    <t xml:space="preserve">s3_card2_title</t>
  </si>
  <si>
    <t xml:space="preserve">s3_card2_score</t>
  </si>
  <si>
    <t xml:space="preserve">s3_card2_evidence</t>
  </si>
  <si>
    <t xml:space="preserve">s3_card2_support</t>
  </si>
  <si>
    <t xml:space="preserve">s3_card2_output</t>
  </si>
  <si>
    <t xml:space="preserve">s3_card3_title</t>
  </si>
  <si>
    <t xml:space="preserve">s3_card3_score</t>
  </si>
  <si>
    <t xml:space="preserve">s3_card3_evidence</t>
  </si>
  <si>
    <t xml:space="preserve">s3_card3_support</t>
  </si>
  <si>
    <t xml:space="preserve">s3_card3_output</t>
  </si>
  <si>
    <t xml:space="preserve">s3_card4_title</t>
  </si>
  <si>
    <t xml:space="preserve">s3_card4_score</t>
  </si>
  <si>
    <t xml:space="preserve">s3_card4_evidence</t>
  </si>
  <si>
    <t xml:space="preserve">s3_card4_support</t>
  </si>
  <si>
    <t xml:space="preserve">s3_card4_output</t>
  </si>
  <si>
    <t xml:space="preserve">s3_crosscutting</t>
  </si>
  <si>
    <t xml:space="preserve">1 sentence</t>
  </si>
  <si>
    <t xml:space="preserve">s3_next1</t>
  </si>
  <si>
    <t xml:space="preserve">≤12 words</t>
  </si>
  <si>
    <t xml:space="preserve">s3_next2</t>
  </si>
  <si>
    <t xml:space="preserve">s3_next3</t>
  </si>
  <si>
    <t xml:space="preserve">s3_footnote</t>
  </si>
  <si>
    <t xml:space="preserve">1 line</t>
  </si>
  <si>
    <t xml:space="preserve">s3_notes</t>
  </si>
  <si>
    <t xml:space="preserve">Placeholder values for Nature_Deck_Skeleton_EY.pptx</t>
  </si>
  <si>
    <t xml:space="preserve">All formulas. Copy columns A:B (rows 5 down) into Copilot in PowerPoint (Prompt 8), or use them for Find and Replace (Ctrl+H).</t>
  </si>
  <si>
    <t xml:space="preserve">High + Medium rows</t>
  </si>
  <si>
    <t xml:space="preserve">Placeholder</t>
  </si>
  <si>
    <t xml:space="preserve">{{cover_title}}</t>
  </si>
  <si>
    <t xml:space="preserve">{{cover_date}}</t>
  </si>
  <si>
    <t xml:space="preserve">{{client_name}}</t>
  </si>
  <si>
    <t xml:space="preserve">{{client_short}}</t>
  </si>
  <si>
    <t xml:space="preserve">{{s1_title}}</t>
  </si>
  <si>
    <t xml:space="preserve">{{s1_section}}</t>
  </si>
  <si>
    <t xml:space="preserve">{{c1_head}}</t>
  </si>
  <si>
    <t xml:space="preserve">{{c1_stat}}</t>
  </si>
  <si>
    <t xml:space="preserve">{{c1_stat_text}}</t>
  </si>
  <si>
    <t xml:space="preserve">{{c1_p1_lead}}</t>
  </si>
  <si>
    <t xml:space="preserve">{{c1_p1}}</t>
  </si>
  <si>
    <t xml:space="preserve">{{c1_p2_lead}}</t>
  </si>
  <si>
    <t xml:space="preserve">{{c1_p2}}</t>
  </si>
  <si>
    <t xml:space="preserve">{{c1_p3_lead}}</t>
  </si>
  <si>
    <t xml:space="preserve">{{c1_p3}}</t>
  </si>
  <si>
    <t xml:space="preserve">{{c2_head}}</t>
  </si>
  <si>
    <t xml:space="preserve">{{c2_stat}}</t>
  </si>
  <si>
    <t xml:space="preserve">{{c2_stat_text}}</t>
  </si>
  <si>
    <t xml:space="preserve">{{c2_p1_lead}}</t>
  </si>
  <si>
    <t xml:space="preserve">{{c2_p1}}</t>
  </si>
  <si>
    <t xml:space="preserve">{{c2_p2_lead}}</t>
  </si>
  <si>
    <t xml:space="preserve">{{c2_p2}}</t>
  </si>
  <si>
    <t xml:space="preserve">{{c2_p3_lead}}</t>
  </si>
  <si>
    <t xml:space="preserve">{{c2_p3}}</t>
  </si>
  <si>
    <t xml:space="preserve">{{c3_head}}</t>
  </si>
  <si>
    <t xml:space="preserve">{{c3_stat}}</t>
  </si>
  <si>
    <t xml:space="preserve">{{c3_stat_text}}</t>
  </si>
  <si>
    <t xml:space="preserve">{{c3_p1_lead}}</t>
  </si>
  <si>
    <t xml:space="preserve">{{c3_p1}}</t>
  </si>
  <si>
    <t xml:space="preserve">{{c3_p2_lead}}</t>
  </si>
  <si>
    <t xml:space="preserve">{{c3_p2}}</t>
  </si>
  <si>
    <t xml:space="preserve">{{c3_p3_lead}}</t>
  </si>
  <si>
    <t xml:space="preserve">{{c3_p3}}</t>
  </si>
  <si>
    <t xml:space="preserve">{{s1_found_note}}</t>
  </si>
  <si>
    <t xml:space="preserve">{{s1_sowhat}}</t>
  </si>
  <si>
    <t xml:space="preserve">{{s1_footnote}}</t>
  </si>
  <si>
    <t xml:space="preserve">{{s1_notes}}</t>
  </si>
  <si>
    <t xml:space="preserve">{{s2_title}}</t>
  </si>
  <si>
    <t xml:space="preserve">{{s2_section}}</t>
  </si>
  <si>
    <t xml:space="preserve">{{exp_unit}}</t>
  </si>
  <si>
    <t xml:space="preserve">{{t1_value}}</t>
  </si>
  <si>
    <t xml:space="preserve">{{t1_label}}</t>
  </si>
  <si>
    <t xml:space="preserve">{{t1_links}}</t>
  </si>
  <si>
    <t xml:space="preserve">{{t1_flag}}</t>
  </si>
  <si>
    <t xml:space="preserve">{{t2_value}}</t>
  </si>
  <si>
    <t xml:space="preserve">{{t2_label}}</t>
  </si>
  <si>
    <t xml:space="preserve">{{t2_links}}</t>
  </si>
  <si>
    <t xml:space="preserve">{{t2_flag}}</t>
  </si>
  <si>
    <t xml:space="preserve">{{t3_value}}</t>
  </si>
  <si>
    <t xml:space="preserve">{{t3_label}}</t>
  </si>
  <si>
    <t xml:space="preserve">{{t3_links}}</t>
  </si>
  <si>
    <t xml:space="preserve">{{t3_flag}}</t>
  </si>
  <si>
    <t xml:space="preserve">{{t4_value}}</t>
  </si>
  <si>
    <t xml:space="preserve">{{t4_label}}</t>
  </si>
  <si>
    <t xml:space="preserve">{{t4_links}}</t>
  </si>
  <si>
    <t xml:space="preserve">{{t4_flag}}</t>
  </si>
  <si>
    <t xml:space="preserve">{{t5_value}}</t>
  </si>
  <si>
    <t xml:space="preserve">{{t5_label}}</t>
  </si>
  <si>
    <t xml:space="preserve">{{t5_links}}</t>
  </si>
  <si>
    <t xml:space="preserve">{{t5_flag}}</t>
  </si>
  <si>
    <t xml:space="preserve">{{t6_value}}</t>
  </si>
  <si>
    <t xml:space="preserve">{{t6_label}}</t>
  </si>
  <si>
    <t xml:space="preserve">{{t6_links}}</t>
  </si>
  <si>
    <t xml:space="preserve">{{t6_flag}}</t>
  </si>
  <si>
    <t xml:space="preserve">{{s2_sowhat}}</t>
  </si>
  <si>
    <t xml:space="preserve">{{s2_footnote}}</t>
  </si>
  <si>
    <t xml:space="preserve">{{s2_notes}}</t>
  </si>
  <si>
    <t xml:space="preserve">{{s3_title}}</t>
  </si>
  <si>
    <t xml:space="preserve">{{s3_section}}</t>
  </si>
  <si>
    <t xml:space="preserve">{{s3_card1_title}}</t>
  </si>
  <si>
    <t xml:space="preserve">{{s3_card1_score}}</t>
  </si>
  <si>
    <t xml:space="preserve">{{s3_card1_evidence}}</t>
  </si>
  <si>
    <t xml:space="preserve">{{s3_card1_support}}</t>
  </si>
  <si>
    <t xml:space="preserve">{{s3_card1_output}}</t>
  </si>
  <si>
    <t xml:space="preserve">{{s3_card2_title}}</t>
  </si>
  <si>
    <t xml:space="preserve">{{s3_card2_score}}</t>
  </si>
  <si>
    <t xml:space="preserve">{{s3_card2_evidence}}</t>
  </si>
  <si>
    <t xml:space="preserve">{{s3_card2_support}}</t>
  </si>
  <si>
    <t xml:space="preserve">{{s3_card2_output}}</t>
  </si>
  <si>
    <t xml:space="preserve">{{s3_card3_title}}</t>
  </si>
  <si>
    <t xml:space="preserve">{{s3_card3_score}}</t>
  </si>
  <si>
    <t xml:space="preserve">{{s3_card3_evidence}}</t>
  </si>
  <si>
    <t xml:space="preserve">{{s3_card3_support}}</t>
  </si>
  <si>
    <t xml:space="preserve">{{s3_card3_output}}</t>
  </si>
  <si>
    <t xml:space="preserve">{{s3_card4_title}}</t>
  </si>
  <si>
    <t xml:space="preserve">{{s3_card4_score}}</t>
  </si>
  <si>
    <t xml:space="preserve">{{s3_card4_evidence}}</t>
  </si>
  <si>
    <t xml:space="preserve">{{s3_card4_support}}</t>
  </si>
  <si>
    <t xml:space="preserve">{{s3_card4_output}}</t>
  </si>
  <si>
    <t xml:space="preserve">{{s3_crosscutting}}</t>
  </si>
  <si>
    <t xml:space="preserve">{{s3_next1}}</t>
  </si>
  <si>
    <t xml:space="preserve">{{s3_next2}}</t>
  </si>
  <si>
    <t xml:space="preserve">{{s3_next3}}</t>
  </si>
  <si>
    <t xml:space="preserve">{{s3_footnote}}</t>
  </si>
  <si>
    <t xml:space="preserve">{{s3_notes}}</t>
  </si>
  <si>
    <t xml:space="preserve">{{1_name}}</t>
  </si>
  <si>
    <t xml:space="preserve">{{1_nbsap}}</t>
  </si>
  <si>
    <t xml:space="preserve">{{1_exp}}</t>
  </si>
  <si>
    <t xml:space="preserve">{{1s}}</t>
  </si>
  <si>
    <t xml:space="preserve">{{1t}}</t>
  </si>
  <si>
    <t xml:space="preserve">{{1_evid}}</t>
  </si>
  <si>
    <t xml:space="preserve">{{2_name}}</t>
  </si>
  <si>
    <t xml:space="preserve">{{2_nbsap}}</t>
  </si>
  <si>
    <t xml:space="preserve">{{2_exp}}</t>
  </si>
  <si>
    <t xml:space="preserve">{{2s}}</t>
  </si>
  <si>
    <t xml:space="preserve">{{2t}}</t>
  </si>
  <si>
    <t xml:space="preserve">{{2_evid}}</t>
  </si>
  <si>
    <t xml:space="preserve">{{3_name}}</t>
  </si>
  <si>
    <t xml:space="preserve">{{3_nbsap}}</t>
  </si>
  <si>
    <t xml:space="preserve">{{3_exp}}</t>
  </si>
  <si>
    <t xml:space="preserve">{{3s}}</t>
  </si>
  <si>
    <t xml:space="preserve">{{3t}}</t>
  </si>
  <si>
    <t xml:space="preserve">{{3_evid}}</t>
  </si>
  <si>
    <t xml:space="preserve">{{4_name}}</t>
  </si>
  <si>
    <t xml:space="preserve">{{4_nbsap}}</t>
  </si>
  <si>
    <t xml:space="preserve">{{4_exp}}</t>
  </si>
  <si>
    <t xml:space="preserve">{{4s}}</t>
  </si>
  <si>
    <t xml:space="preserve">{{4t}}</t>
  </si>
  <si>
    <t xml:space="preserve">{{4_evid}}</t>
  </si>
  <si>
    <t xml:space="preserve">{{5_name}}</t>
  </si>
  <si>
    <t xml:space="preserve">{{5_nbsap}}</t>
  </si>
  <si>
    <t xml:space="preserve">{{5_exp}}</t>
  </si>
  <si>
    <t xml:space="preserve">{{5s}}</t>
  </si>
  <si>
    <t xml:space="preserve">{{5t}}</t>
  </si>
  <si>
    <t xml:space="preserve">{{5_evid}}</t>
  </si>
  <si>
    <t xml:space="preserve">{{6_name}}</t>
  </si>
  <si>
    <t xml:space="preserve">{{6_nbsap}}</t>
  </si>
  <si>
    <t xml:space="preserve">{{6_exp}}</t>
  </si>
  <si>
    <t xml:space="preserve">{{6s}}</t>
  </si>
  <si>
    <t xml:space="preserve">{{6t}}</t>
  </si>
  <si>
    <t xml:space="preserve">{{6_evid}}</t>
  </si>
  <si>
    <t xml:space="preserve">{{7_name}}</t>
  </si>
  <si>
    <t xml:space="preserve">{{7_nbsap}}</t>
  </si>
  <si>
    <t xml:space="preserve">{{7_exp}}</t>
  </si>
  <si>
    <t xml:space="preserve">{{7s}}</t>
  </si>
  <si>
    <t xml:space="preserve">{{7t}}</t>
  </si>
  <si>
    <t xml:space="preserve">{{7_evid}}</t>
  </si>
  <si>
    <t xml:space="preserve">{{8_name}}</t>
  </si>
  <si>
    <t xml:space="preserve">{{8_nbsap}}</t>
  </si>
  <si>
    <t xml:space="preserve">{{8_exp}}</t>
  </si>
  <si>
    <t xml:space="preserve">{{8s}}</t>
  </si>
  <si>
    <t xml:space="preserve">{{8t}}</t>
  </si>
  <si>
    <t xml:space="preserve">{{8_evid}}</t>
  </si>
  <si>
    <t xml:space="preserve">{{9_name}}</t>
  </si>
  <si>
    <t xml:space="preserve">{{9_nbsap}}</t>
  </si>
  <si>
    <t xml:space="preserve">{{9_exp}}</t>
  </si>
  <si>
    <t xml:space="preserve">{{9s}}</t>
  </si>
  <si>
    <t xml:space="preserve">{{9t}}</t>
  </si>
  <si>
    <t xml:space="preserve">{{9_evid}}</t>
  </si>
  <si>
    <t xml:space="preserve">{{10_name}}</t>
  </si>
  <si>
    <t xml:space="preserve">{{10_nbsap}}</t>
  </si>
  <si>
    <t xml:space="preserve">{{10_exp}}</t>
  </si>
  <si>
    <t xml:space="preserve">{{10s}}</t>
  </si>
  <si>
    <t xml:space="preserve">{{10t}}</t>
  </si>
  <si>
    <t xml:space="preserve">{{10_evid}}</t>
  </si>
  <si>
    <t xml:space="preserve">{{11_name}}</t>
  </si>
  <si>
    <t xml:space="preserve">{{11_nbsap}}</t>
  </si>
  <si>
    <t xml:space="preserve">{{11_exp}}</t>
  </si>
  <si>
    <t xml:space="preserve">{{11s}}</t>
  </si>
  <si>
    <t xml:space="preserve">{{11t}}</t>
  </si>
  <si>
    <t xml:space="preserve">{{11_evid}}</t>
  </si>
  <si>
    <t xml:space="preserve">{{12_name}}</t>
  </si>
  <si>
    <t xml:space="preserve">{{12_nbsap}}</t>
  </si>
  <si>
    <t xml:space="preserve">{{12_exp}}</t>
  </si>
  <si>
    <t xml:space="preserve">{{12s}}</t>
  </si>
  <si>
    <t xml:space="preserve">{{12t}}</t>
  </si>
  <si>
    <t xml:space="preserve">{{12_evid}}</t>
  </si>
  <si>
    <t xml:space="preserve">{{low_list}}</t>
  </si>
  <si>
    <t xml:space="preserve">Chart data for page 3 (paste into the chart: right-click &gt; Edit Data)</t>
  </si>
  <si>
    <t xml:space="preserve">Copy A4:C13 and paste over the chart data sheet in PowerPoint (cell A1). Blank rows mean fewer than 9 High/Medium priorities: delete those rows in the chart data.</t>
  </si>
  <si>
    <t xml:space="preserve">Category</t>
  </si>
  <si>
    <t xml:space="preserve">Medium</t>
  </si>
  <si>
    <t xml:space="preserve">Quality checks</t>
  </si>
  <si>
    <t xml:space="preserve">#</t>
  </si>
  <si>
    <t xml:space="preserve">Result</t>
  </si>
  <si>
    <t xml:space="preserve">Country_ID recognised</t>
  </si>
  <si>
    <t xml:space="preserve">Country has NBSAP commitments loaded</t>
  </si>
  <si>
    <t xml:space="preserve">All 15 sub-themes scored (C1, C2, C4 entered)</t>
  </si>
  <si>
    <t xml:space="preserve">Weights total 100%</t>
  </si>
  <si>
    <t xml:space="preserve">C2 cap respected (C2 ≤ 2 where C1 ≤ 2)</t>
  </si>
  <si>
    <t xml:space="preserve">Every evidence item mapped</t>
  </si>
  <si>
    <t xml:space="preserve">Every evidence item has source, page and quote</t>
  </si>
  <si>
    <t xml:space="preserve">Mapping IDs exist in taxonomy</t>
  </si>
  <si>
    <t xml:space="preserve">Slide text within limits (Slide_Content tab)</t>
  </si>
  <si>
    <t xml:space="preserve">EXAMPLE rows deleted</t>
  </si>
</sst>
</file>

<file path=xl/styles.xml><?xml version="1.0" encoding="utf-8"?>
<styleSheet xmlns="http://schemas.openxmlformats.org/spreadsheetml/2006/main">
  <numFmts count="9">
    <numFmt numFmtId="164" formatCode="General"/>
    <numFmt numFmtId="165" formatCode="#,##0"/>
    <numFmt numFmtId="166" formatCode="0.0%"/>
    <numFmt numFmtId="167" formatCode="0"/>
    <numFmt numFmtId="168" formatCode="#,##0.00;\-#,##0.00;\-"/>
    <numFmt numFmtId="169" formatCode="0.00"/>
    <numFmt numFmtId="170" formatCode="0%"/>
    <numFmt numFmtId="171" formatCode="0.0"/>
    <numFmt numFmtId="172" formatCode="0.0000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b val="true"/>
      <sz val="10"/>
      <color rgb="FFFFE600"/>
      <name val="Arial"/>
      <family val="0"/>
      <charset val="1"/>
    </font>
    <font>
      <sz val="10"/>
      <color rgb="FF0000FF"/>
      <name val="Arial"/>
      <family val="0"/>
      <charset val="1"/>
    </font>
    <font>
      <i val="true"/>
      <sz val="9"/>
      <color rgb="FF595959"/>
      <name val="Arial"/>
      <family val="0"/>
      <charset val="1"/>
    </font>
    <font>
      <sz val="10"/>
      <color rgb="FF008000"/>
      <name val="Arial"/>
      <family val="0"/>
      <charset val="1"/>
    </font>
    <font>
      <i val="true"/>
      <sz val="10"/>
      <color rgb="FF0000FF"/>
      <name val="Arial"/>
      <family val="0"/>
      <charset val="1"/>
    </font>
  </fonts>
  <fills count="3">
    <fill>
      <patternFill patternType="none"/>
    </fill>
    <fill>
      <patternFill patternType="gray125"/>
    </fill>
    <fill>
      <patternFill patternType="solid">
        <fgColor rgb="FF2E2E38"/>
        <bgColor rgb="FF3333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true" applyProtection="false">
      <alignment horizontal="general" vertical="top" textRotation="0" wrapText="true" indent="0" shrinkToFit="false"/>
      <protection locked="true" hidden="false"/>
    </xf>
    <xf numFmtId="166" fontId="11" fillId="0" borderId="1" xfId="0" applyFont="true" applyBorder="true" applyAlignment="true" applyProtection="false">
      <alignment horizontal="general" vertical="top" textRotation="0" wrapText="true" indent="0" shrinkToFit="false"/>
      <protection locked="true" hidden="false"/>
    </xf>
    <xf numFmtId="167" fontId="10" fillId="0" borderId="1" xfId="0" applyFont="true" applyBorder="true" applyAlignment="true" applyProtection="false">
      <alignment horizontal="general" vertical="top" textRotation="0" wrapText="true" indent="0" shrinkToFit="false"/>
      <protection locked="true" hidden="false"/>
    </xf>
    <xf numFmtId="168" fontId="10" fillId="0" borderId="1" xfId="0" applyFont="true" applyBorder="true" applyAlignment="true" applyProtection="false">
      <alignment horizontal="general" vertical="top" textRotation="0" wrapText="true" indent="0" shrinkToFit="false"/>
      <protection locked="true" hidden="false"/>
    </xf>
    <xf numFmtId="169" fontId="5" fillId="0" borderId="1" xfId="0" applyFont="true" applyBorder="true" applyAlignment="true" applyProtection="false">
      <alignment horizontal="general" vertical="top" textRotation="0" wrapText="tru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70" fontId="8" fillId="0" borderId="1" xfId="0" applyFont="true" applyBorder="true" applyAlignment="true" applyProtection="false">
      <alignment horizontal="general" vertical="top" textRotation="0" wrapText="true" indent="0" shrinkToFit="false"/>
      <protection locked="true" hidden="false"/>
    </xf>
    <xf numFmtId="170" fontId="6" fillId="0" borderId="1" xfId="0" applyFont="true" applyBorder="true" applyAlignment="true" applyProtection="false">
      <alignment horizontal="general" vertical="top" textRotation="0" wrapText="true" indent="0" shrinkToFit="false"/>
      <protection locked="true" hidden="false"/>
    </xf>
    <xf numFmtId="171" fontId="8" fillId="0" borderId="1" xfId="0" applyFont="true" applyBorder="true" applyAlignment="true" applyProtection="false">
      <alignment horizontal="general" vertical="top" textRotation="0" wrapText="true" indent="0" shrinkToFit="false"/>
      <protection locked="true" hidden="false"/>
    </xf>
    <xf numFmtId="167" fontId="8" fillId="0" borderId="1" xfId="0" applyFont="true" applyBorder="true" applyAlignment="true" applyProtection="false">
      <alignment horizontal="general" vertical="top" textRotation="0" wrapText="true" indent="0" shrinkToFit="false"/>
      <protection locked="true" hidden="false"/>
    </xf>
    <xf numFmtId="169" fontId="8" fillId="0" borderId="1" xfId="0" applyFont="true" applyBorder="true" applyAlignment="true" applyProtection="false">
      <alignment horizontal="general" vertical="top" textRotation="0" wrapText="true" indent="0" shrinkToFit="false"/>
      <protection locked="true" hidden="false"/>
    </xf>
    <xf numFmtId="171" fontId="5" fillId="0" borderId="1" xfId="0" applyFont="true" applyBorder="true" applyAlignment="true" applyProtection="false">
      <alignment horizontal="general" vertical="top" textRotation="0" wrapText="true" indent="0" shrinkToFit="false"/>
      <protection locked="true" hidden="false"/>
    </xf>
    <xf numFmtId="172"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8CBAD"/>
        </patternFill>
      </fill>
    </dxf>
  </dxfs>
  <colors>
    <indexedColors>
      <rgbColor rgb="FF000000"/>
      <rgbColor rgb="FFFFFFFF"/>
      <rgbColor rgb="FFFF0000"/>
      <rgbColor rgb="FF00FF00"/>
      <rgbColor rgb="FF0000FF"/>
      <rgbColor rgb="FFFFE6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2E2E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5"/>
  </cols>
  <sheetData>
    <row r="1" customFormat="false" ht="17.35" hidden="false" customHeight="false" outlineLevel="0" collapsed="false">
      <c r="A1" s="1" t="s">
        <v>0</v>
      </c>
      <c r="B1" s="2"/>
    </row>
    <row r="2" customFormat="false" ht="23.85" hidden="false" customHeight="false" outlineLevel="0" collapsed="false">
      <c r="A2" s="3" t="s">
        <v>1</v>
      </c>
      <c r="B2" s="2" t="s">
        <v>2</v>
      </c>
    </row>
    <row r="3" customFormat="false" ht="35.05" hidden="false" customHeight="false" outlineLevel="0" collapsed="false">
      <c r="A3" s="3" t="s">
        <v>3</v>
      </c>
      <c r="B3" s="2" t="s">
        <v>4</v>
      </c>
    </row>
    <row r="4" customFormat="false" ht="23.85" hidden="false" customHeight="false" outlineLevel="0" collapsed="false">
      <c r="A4" s="3" t="s">
        <v>5</v>
      </c>
      <c r="B4" s="2" t="s">
        <v>6</v>
      </c>
    </row>
    <row r="5" customFormat="false" ht="23.85" hidden="false" customHeight="false" outlineLevel="0" collapsed="false">
      <c r="A5" s="3" t="s">
        <v>7</v>
      </c>
      <c r="B5" s="2" t="s">
        <v>8</v>
      </c>
    </row>
    <row r="6" customFormat="false" ht="23.85" hidden="false" customHeight="false" outlineLevel="0" collapsed="false">
      <c r="A6" s="3" t="s">
        <v>9</v>
      </c>
      <c r="B6" s="2" t="s">
        <v>10</v>
      </c>
    </row>
    <row r="7" customFormat="false" ht="35.05" hidden="false" customHeight="false" outlineLevel="0" collapsed="false">
      <c r="A7" s="3" t="s">
        <v>11</v>
      </c>
      <c r="B7" s="2"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40"/>
    <col collapsed="false" customWidth="true" hidden="false" outlineLevel="0" max="3" min="3" style="0" width="70"/>
  </cols>
  <sheetData>
    <row r="1" customFormat="false" ht="17.35" hidden="false" customHeight="false" outlineLevel="0" collapsed="false">
      <c r="A1" s="1" t="s">
        <v>13</v>
      </c>
    </row>
    <row r="4" customFormat="false" ht="15" hidden="false" customHeight="false" outlineLevel="0" collapsed="false">
      <c r="A4" s="4" t="s">
        <v>14</v>
      </c>
      <c r="B4" s="4" t="s">
        <v>15</v>
      </c>
      <c r="C4" s="4" t="s">
        <v>16</v>
      </c>
    </row>
    <row r="5" customFormat="false" ht="15" hidden="false" customHeight="false" outlineLevel="0" collapsed="false">
      <c r="A5" s="5" t="s">
        <v>17</v>
      </c>
      <c r="B5" s="6" t="s">
        <v>18</v>
      </c>
      <c r="C5" s="7" t="s">
        <v>19</v>
      </c>
    </row>
    <row r="6" customFormat="false" ht="15" hidden="false" customHeight="false" outlineLevel="0" collapsed="false">
      <c r="A6" s="5" t="s">
        <v>20</v>
      </c>
      <c r="B6" s="6" t="s">
        <v>21</v>
      </c>
      <c r="C6" s="7" t="s">
        <v>22</v>
      </c>
    </row>
    <row r="7" customFormat="false" ht="15" hidden="false" customHeight="false" outlineLevel="0" collapsed="false">
      <c r="A7" s="5" t="s">
        <v>23</v>
      </c>
      <c r="B7" s="8" t="str">
        <f aca="false">IFERROR(INDEX(Countries!B:B,MATCH(B6,Countries!A:A,0)),"Unknown Country_ID")</f>
        <v>United Kingdom</v>
      </c>
      <c r="C7" s="7" t="s">
        <v>24</v>
      </c>
    </row>
    <row r="8" customFormat="false" ht="15" hidden="false" customHeight="false" outlineLevel="0" collapsed="false">
      <c r="A8" s="5" t="s">
        <v>25</v>
      </c>
      <c r="B8" s="8" t="str">
        <f aca="false">IFERROR(INDEX(Countries!F:F,MATCH(B6,Countries!A:A,0)),"")</f>
        <v>Environmental Improvement Plan 2025</v>
      </c>
      <c r="C8" s="7" t="s">
        <v>24</v>
      </c>
    </row>
    <row r="9" customFormat="false" ht="15" hidden="false" customHeight="false" outlineLevel="0" collapsed="false">
      <c r="A9" s="5" t="s">
        <v>26</v>
      </c>
      <c r="B9" s="6" t="s">
        <v>27</v>
      </c>
      <c r="C9" s="7"/>
    </row>
    <row r="10" customFormat="false" ht="15" hidden="false" customHeight="false" outlineLevel="0" collapsed="false">
      <c r="A10" s="5" t="s">
        <v>28</v>
      </c>
      <c r="B10" s="6" t="s">
        <v>29</v>
      </c>
      <c r="C10" s="7" t="s">
        <v>30</v>
      </c>
    </row>
    <row r="11" customFormat="false" ht="15" hidden="false" customHeight="false" outlineLevel="0" collapsed="false">
      <c r="A11" s="5" t="s">
        <v>31</v>
      </c>
      <c r="B11" s="6" t="s">
        <v>32</v>
      </c>
      <c r="C11" s="7"/>
    </row>
    <row r="12" customFormat="false" ht="15" hidden="false" customHeight="false" outlineLevel="0" collapsed="false">
      <c r="A12" s="5" t="s">
        <v>33</v>
      </c>
      <c r="B12" s="6" t="s">
        <v>34</v>
      </c>
      <c r="C12" s="7" t="s">
        <v>35</v>
      </c>
    </row>
  </sheetData>
  <dataValidations count="1">
    <dataValidation allowBlank="false" errorStyle="stop" operator="between" showDropDown="false" showErrorMessage="false" showInputMessage="false" sqref="B6" type="list">
      <formula1>Countries!$A$5:$A$40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2"/>
    <col collapsed="false" customWidth="true" hidden="false" outlineLevel="0" max="4" min="3" style="0" width="14"/>
    <col collapsed="false" customWidth="true" hidden="false" outlineLevel="0" max="5" min="5" style="0" width="10"/>
    <col collapsed="false" customWidth="true" hidden="false" outlineLevel="0" max="6" min="6" style="0" width="60"/>
  </cols>
  <sheetData>
    <row r="1" customFormat="false" ht="17.35" hidden="false" customHeight="false" outlineLevel="0" collapsed="false">
      <c r="A1" s="1" t="s">
        <v>36</v>
      </c>
    </row>
    <row r="4" customFormat="false" ht="23.85" hidden="false" customHeight="false" outlineLevel="0" collapsed="false">
      <c r="A4" s="4" t="s">
        <v>20</v>
      </c>
      <c r="B4" s="4" t="s">
        <v>37</v>
      </c>
      <c r="C4" s="4" t="s">
        <v>38</v>
      </c>
      <c r="D4" s="4" t="s">
        <v>39</v>
      </c>
      <c r="E4" s="4" t="s">
        <v>40</v>
      </c>
      <c r="F4" s="4" t="s">
        <v>25</v>
      </c>
    </row>
    <row r="5" customFormat="false" ht="15" hidden="false" customHeight="false" outlineLevel="0" collapsed="false">
      <c r="A5" s="6" t="s">
        <v>21</v>
      </c>
      <c r="B5" s="6" t="s">
        <v>41</v>
      </c>
      <c r="C5" s="6" t="s">
        <v>42</v>
      </c>
      <c r="D5" s="6" t="s">
        <v>43</v>
      </c>
      <c r="E5" s="6" t="n">
        <v>2025</v>
      </c>
      <c r="F5" s="6" t="s">
        <v>44</v>
      </c>
    </row>
    <row r="6" customFormat="false" ht="15" hidden="false" customHeight="false" outlineLevel="0" collapsed="false">
      <c r="A6" s="6" t="s">
        <v>45</v>
      </c>
      <c r="B6" s="6" t="s">
        <v>46</v>
      </c>
      <c r="C6" s="6" t="s">
        <v>47</v>
      </c>
      <c r="D6" s="6" t="s">
        <v>43</v>
      </c>
      <c r="E6" s="6" t="n">
        <v>2024</v>
      </c>
      <c r="F6" s="6" t="s">
        <v>48</v>
      </c>
    </row>
    <row r="7" customFormat="false" ht="15" hidden="false" customHeight="false" outlineLevel="0" collapsed="false">
      <c r="A7" s="6" t="s">
        <v>49</v>
      </c>
      <c r="B7" s="6" t="s">
        <v>50</v>
      </c>
      <c r="C7" s="6" t="s">
        <v>51</v>
      </c>
      <c r="D7" s="6" t="s">
        <v>52</v>
      </c>
      <c r="E7" s="6" t="n">
        <v>2015</v>
      </c>
      <c r="F7" s="6" t="s">
        <v>53</v>
      </c>
    </row>
    <row r="8" customFormat="false" ht="15" hidden="false" customHeight="false" outlineLevel="0" collapsed="false">
      <c r="A8" s="6" t="s">
        <v>54</v>
      </c>
      <c r="B8" s="6" t="s">
        <v>55</v>
      </c>
      <c r="C8" s="6" t="s">
        <v>51</v>
      </c>
      <c r="D8" s="6" t="s">
        <v>43</v>
      </c>
      <c r="E8" s="6" t="n">
        <v>2025</v>
      </c>
      <c r="F8" s="6" t="s">
        <v>56</v>
      </c>
    </row>
    <row r="9" customFormat="false" ht="15" hidden="false" customHeight="false" outlineLevel="0" collapsed="false">
      <c r="A9" s="6" t="s">
        <v>57</v>
      </c>
      <c r="B9" s="6" t="s">
        <v>58</v>
      </c>
      <c r="C9" s="6" t="s">
        <v>51</v>
      </c>
      <c r="D9" s="6" t="s">
        <v>43</v>
      </c>
      <c r="E9" s="6" t="n">
        <v>2024</v>
      </c>
      <c r="F9" s="6" t="s">
        <v>59</v>
      </c>
    </row>
    <row r="10" customFormat="false" ht="15" hidden="false" customHeight="false" outlineLevel="0" collapsed="false">
      <c r="A10" s="6" t="s">
        <v>60</v>
      </c>
      <c r="B10" s="6" t="s">
        <v>61</v>
      </c>
      <c r="C10" s="6" t="s">
        <v>42</v>
      </c>
      <c r="D10" s="6" t="s">
        <v>43</v>
      </c>
      <c r="E10" s="6" t="n">
        <v>2023</v>
      </c>
      <c r="F10" s="6" t="s">
        <v>62</v>
      </c>
    </row>
    <row r="11" customFormat="false" ht="15" hidden="false" customHeight="false" outlineLevel="0" collapsed="false">
      <c r="A11" s="6" t="s">
        <v>63</v>
      </c>
      <c r="B11" s="6" t="s">
        <v>64</v>
      </c>
      <c r="C11" s="6" t="s">
        <v>42</v>
      </c>
      <c r="D11" s="6" t="s">
        <v>43</v>
      </c>
      <c r="E11" s="6" t="n">
        <v>2022</v>
      </c>
      <c r="F11" s="6" t="s">
        <v>65</v>
      </c>
    </row>
    <row r="12" customFormat="false" ht="15" hidden="false" customHeight="false" outlineLevel="0" collapsed="false">
      <c r="A12" s="6" t="s">
        <v>66</v>
      </c>
      <c r="B12" s="6" t="s">
        <v>67</v>
      </c>
      <c r="C12" s="6" t="s">
        <v>42</v>
      </c>
      <c r="D12" s="6" t="s">
        <v>43</v>
      </c>
      <c r="E12" s="6" t="n">
        <v>2025</v>
      </c>
      <c r="F12" s="6" t="s">
        <v>62</v>
      </c>
    </row>
    <row r="13" customFormat="false" ht="15" hidden="false" customHeight="false" outlineLevel="0" collapsed="false">
      <c r="A13" s="6" t="s">
        <v>68</v>
      </c>
      <c r="B13" s="6" t="s">
        <v>69</v>
      </c>
      <c r="C13" s="6" t="s">
        <v>42</v>
      </c>
      <c r="D13" s="6" t="s">
        <v>43</v>
      </c>
      <c r="E13" s="6" t="n">
        <v>2023</v>
      </c>
      <c r="F13" s="6" t="s">
        <v>70</v>
      </c>
    </row>
    <row r="14" customFormat="false" ht="15" hidden="false" customHeight="false" outlineLevel="0" collapsed="false">
      <c r="A14" s="6" t="s">
        <v>71</v>
      </c>
      <c r="B14" s="6" t="s">
        <v>72</v>
      </c>
      <c r="C14" s="6" t="s">
        <v>42</v>
      </c>
      <c r="D14" s="6" t="s">
        <v>73</v>
      </c>
      <c r="E14" s="6" t="s">
        <v>74</v>
      </c>
      <c r="F14" s="6" t="s">
        <v>74</v>
      </c>
    </row>
    <row r="15" customFormat="false" ht="15" hidden="false" customHeight="false" outlineLevel="0" collapsed="false">
      <c r="A15" s="6" t="s">
        <v>75</v>
      </c>
      <c r="B15" s="6" t="s">
        <v>76</v>
      </c>
      <c r="C15" s="6" t="s">
        <v>42</v>
      </c>
      <c r="D15" s="6" t="s">
        <v>43</v>
      </c>
      <c r="E15" s="6" t="n">
        <v>2024</v>
      </c>
      <c r="F15" s="6" t="s">
        <v>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5"/>
    <col collapsed="false" customWidth="true" hidden="false" outlineLevel="0" max="3" min="3" style="0" width="22"/>
    <col collapsed="false" customWidth="true" hidden="false" outlineLevel="0" max="4" min="4" style="0" width="7"/>
    <col collapsed="false" customWidth="true" hidden="false" outlineLevel="0" max="5" min="5" style="0" width="24"/>
    <col collapsed="false" customWidth="true" hidden="false" outlineLevel="0" max="6" min="6" style="0" width="40"/>
    <col collapsed="false" customWidth="true" hidden="false" outlineLevel="0" max="7" min="7" style="0" width="13"/>
    <col collapsed="false" customWidth="true" hidden="false" outlineLevel="0" max="8" min="8" style="0" width="10"/>
    <col collapsed="false" customWidth="true" hidden="false" outlineLevel="0" max="9" min="9" style="0" width="50"/>
  </cols>
  <sheetData>
    <row r="1" customFormat="false" ht="17.35" hidden="false" customHeight="false" outlineLevel="0" collapsed="false">
      <c r="A1" s="1" t="s">
        <v>78</v>
      </c>
    </row>
    <row r="4" customFormat="false" ht="23.85" hidden="false" customHeight="false" outlineLevel="0" collapsed="false">
      <c r="A4" s="4" t="s">
        <v>79</v>
      </c>
      <c r="B4" s="4" t="s">
        <v>80</v>
      </c>
      <c r="C4" s="4" t="s">
        <v>81</v>
      </c>
      <c r="D4" s="4" t="s">
        <v>82</v>
      </c>
      <c r="E4" s="4" t="s">
        <v>83</v>
      </c>
      <c r="F4" s="4" t="s">
        <v>84</v>
      </c>
      <c r="G4" s="4" t="s">
        <v>85</v>
      </c>
      <c r="H4" s="4" t="s">
        <v>86</v>
      </c>
      <c r="I4" s="4" t="s">
        <v>87</v>
      </c>
    </row>
    <row r="5" customFormat="false" ht="15" hidden="false" customHeight="false" outlineLevel="0" collapsed="false">
      <c r="A5" s="9" t="s">
        <v>88</v>
      </c>
      <c r="B5" s="9" t="s">
        <v>89</v>
      </c>
      <c r="C5" s="9" t="s">
        <v>90</v>
      </c>
      <c r="D5" s="9" t="s">
        <v>91</v>
      </c>
      <c r="E5" s="9" t="s">
        <v>92</v>
      </c>
      <c r="F5" s="9" t="s">
        <v>93</v>
      </c>
      <c r="G5" s="9" t="s">
        <v>94</v>
      </c>
      <c r="H5" s="9" t="s">
        <v>95</v>
      </c>
      <c r="I5" s="9" t="s">
        <v>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30"/>
    <col collapsed="false" customWidth="true" hidden="false" outlineLevel="0" max="4" min="4" style="0" width="16"/>
    <col collapsed="false" customWidth="true" hidden="false" outlineLevel="0" max="5" min="5" style="0" width="9"/>
    <col collapsed="false" customWidth="true" hidden="false" outlineLevel="0" max="6" min="6" style="0" width="18"/>
    <col collapsed="false" customWidth="true" hidden="false" outlineLevel="0" max="7" min="7" style="0" width="12"/>
    <col collapsed="false" customWidth="true" hidden="false" outlineLevel="0" max="8" min="8" style="0" width="24"/>
    <col collapsed="false" customWidth="true" hidden="false" outlineLevel="0" max="9" min="9" style="0" width="22"/>
  </cols>
  <sheetData>
    <row r="1" customFormat="false" ht="17.35" hidden="false" customHeight="false" outlineLevel="0" collapsed="false">
      <c r="A1" s="1" t="s">
        <v>97</v>
      </c>
    </row>
    <row r="2" customFormat="false" ht="15" hidden="false" customHeight="false" outlineLevel="0" collapsed="false">
      <c r="A2" s="10" t="s">
        <v>98</v>
      </c>
    </row>
    <row r="4" customFormat="false" ht="35.05" hidden="false" customHeight="false" outlineLevel="0" collapsed="false">
      <c r="A4" s="4" t="s">
        <v>79</v>
      </c>
      <c r="B4" s="4" t="s">
        <v>99</v>
      </c>
      <c r="C4" s="4" t="s">
        <v>100</v>
      </c>
      <c r="D4" s="4" t="s">
        <v>101</v>
      </c>
      <c r="E4" s="4" t="s">
        <v>102</v>
      </c>
      <c r="F4" s="4" t="s">
        <v>103</v>
      </c>
      <c r="G4" s="4" t="s">
        <v>104</v>
      </c>
      <c r="H4" s="4" t="s">
        <v>105</v>
      </c>
      <c r="I4" s="4" t="s">
        <v>106</v>
      </c>
    </row>
    <row r="5" customFormat="false" ht="23.85" hidden="false" customHeight="false" outlineLevel="0" collapsed="false">
      <c r="A5" s="9" t="s">
        <v>107</v>
      </c>
      <c r="B5" s="9" t="s">
        <v>108</v>
      </c>
      <c r="C5" s="9" t="s">
        <v>109</v>
      </c>
      <c r="D5" s="11" t="n">
        <v>6695</v>
      </c>
      <c r="E5" s="9" t="s">
        <v>110</v>
      </c>
      <c r="F5" s="9" t="s">
        <v>111</v>
      </c>
      <c r="G5" s="12" t="n">
        <v>0.01</v>
      </c>
      <c r="H5" s="9" t="s">
        <v>112</v>
      </c>
      <c r="I5" s="9" t="s">
        <v>113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40"/>
    <col collapsed="false" customWidth="true" hidden="false" outlineLevel="0" max="4" min="4" style="0" width="80"/>
    <col collapsed="false" customWidth="true" hidden="false" outlineLevel="0" max="5" min="5" style="0" width="26"/>
  </cols>
  <sheetData>
    <row r="1" customFormat="false" ht="17.35" hidden="false" customHeight="false" outlineLevel="0" collapsed="false">
      <c r="A1" s="1" t="s">
        <v>114</v>
      </c>
    </row>
    <row r="4" customFormat="false" ht="23.85" hidden="false" customHeight="false" outlineLevel="0" collapsed="false">
      <c r="A4" s="4" t="s">
        <v>115</v>
      </c>
      <c r="B4" s="4" t="s">
        <v>116</v>
      </c>
      <c r="C4" s="4" t="s">
        <v>117</v>
      </c>
      <c r="D4" s="4" t="s">
        <v>118</v>
      </c>
      <c r="E4" s="4" t="s">
        <v>119</v>
      </c>
    </row>
    <row r="5" customFormat="false" ht="46.25" hidden="false" customHeight="false" outlineLevel="0" collapsed="false">
      <c r="A5" s="6" t="s">
        <v>120</v>
      </c>
      <c r="B5" s="6" t="s">
        <v>121</v>
      </c>
      <c r="C5" s="6" t="s">
        <v>122</v>
      </c>
      <c r="D5" s="6" t="s">
        <v>123</v>
      </c>
      <c r="E5" s="6" t="s">
        <v>124</v>
      </c>
    </row>
    <row r="6" customFormat="false" ht="35.05" hidden="false" customHeight="false" outlineLevel="0" collapsed="false">
      <c r="A6" s="6" t="s">
        <v>125</v>
      </c>
      <c r="B6" s="6" t="s">
        <v>121</v>
      </c>
      <c r="C6" s="6" t="s">
        <v>126</v>
      </c>
      <c r="D6" s="6" t="s">
        <v>127</v>
      </c>
      <c r="E6" s="6" t="s">
        <v>124</v>
      </c>
    </row>
    <row r="7" customFormat="false" ht="35.05" hidden="false" customHeight="false" outlineLevel="0" collapsed="false">
      <c r="A7" s="6" t="s">
        <v>128</v>
      </c>
      <c r="B7" s="6" t="s">
        <v>121</v>
      </c>
      <c r="C7" s="6" t="s">
        <v>129</v>
      </c>
      <c r="D7" s="6" t="s">
        <v>130</v>
      </c>
      <c r="E7" s="6" t="s">
        <v>124</v>
      </c>
    </row>
    <row r="8" customFormat="false" ht="35.05" hidden="false" customHeight="false" outlineLevel="0" collapsed="false">
      <c r="A8" s="6" t="s">
        <v>131</v>
      </c>
      <c r="B8" s="6" t="s">
        <v>121</v>
      </c>
      <c r="C8" s="6" t="s">
        <v>132</v>
      </c>
      <c r="D8" s="6" t="s">
        <v>133</v>
      </c>
      <c r="E8" s="6" t="s">
        <v>124</v>
      </c>
    </row>
    <row r="9" customFormat="false" ht="35.05" hidden="false" customHeight="false" outlineLevel="0" collapsed="false">
      <c r="A9" s="6" t="s">
        <v>134</v>
      </c>
      <c r="B9" s="6" t="s">
        <v>121</v>
      </c>
      <c r="C9" s="6" t="s">
        <v>135</v>
      </c>
      <c r="D9" s="6" t="s">
        <v>136</v>
      </c>
      <c r="E9" s="6" t="s">
        <v>124</v>
      </c>
    </row>
    <row r="10" customFormat="false" ht="35.05" hidden="false" customHeight="false" outlineLevel="0" collapsed="false">
      <c r="A10" s="6" t="s">
        <v>137</v>
      </c>
      <c r="B10" s="6" t="s">
        <v>121</v>
      </c>
      <c r="C10" s="6" t="s">
        <v>138</v>
      </c>
      <c r="D10" s="6" t="s">
        <v>139</v>
      </c>
      <c r="E10" s="6" t="s">
        <v>124</v>
      </c>
    </row>
    <row r="11" customFormat="false" ht="35.05" hidden="false" customHeight="false" outlineLevel="0" collapsed="false">
      <c r="A11" s="6" t="s">
        <v>140</v>
      </c>
      <c r="B11" s="6" t="s">
        <v>141</v>
      </c>
      <c r="C11" s="6" t="s">
        <v>142</v>
      </c>
      <c r="D11" s="6" t="s">
        <v>143</v>
      </c>
      <c r="E11" s="6" t="s">
        <v>144</v>
      </c>
    </row>
    <row r="12" customFormat="false" ht="35.05" hidden="false" customHeight="false" outlineLevel="0" collapsed="false">
      <c r="A12" s="6" t="s">
        <v>145</v>
      </c>
      <c r="B12" s="6" t="s">
        <v>141</v>
      </c>
      <c r="C12" s="6" t="s">
        <v>146</v>
      </c>
      <c r="D12" s="6" t="s">
        <v>147</v>
      </c>
      <c r="E12" s="6" t="s">
        <v>124</v>
      </c>
    </row>
    <row r="13" customFormat="false" ht="35.05" hidden="false" customHeight="false" outlineLevel="0" collapsed="false">
      <c r="A13" s="6" t="s">
        <v>148</v>
      </c>
      <c r="B13" s="6" t="s">
        <v>141</v>
      </c>
      <c r="C13" s="6" t="s">
        <v>149</v>
      </c>
      <c r="D13" s="6" t="s">
        <v>150</v>
      </c>
      <c r="E13" s="6" t="s">
        <v>151</v>
      </c>
    </row>
    <row r="14" customFormat="false" ht="35.05" hidden="false" customHeight="false" outlineLevel="0" collapsed="false">
      <c r="A14" s="6" t="s">
        <v>152</v>
      </c>
      <c r="B14" s="6" t="s">
        <v>141</v>
      </c>
      <c r="C14" s="6" t="s">
        <v>153</v>
      </c>
      <c r="D14" s="6" t="s">
        <v>154</v>
      </c>
      <c r="E14" s="6" t="s">
        <v>151</v>
      </c>
    </row>
    <row r="15" customFormat="false" ht="35.05" hidden="false" customHeight="false" outlineLevel="0" collapsed="false">
      <c r="A15" s="6" t="s">
        <v>155</v>
      </c>
      <c r="B15" s="6" t="s">
        <v>141</v>
      </c>
      <c r="C15" s="6" t="s">
        <v>156</v>
      </c>
      <c r="D15" s="6" t="s">
        <v>157</v>
      </c>
      <c r="E15" s="6" t="s">
        <v>144</v>
      </c>
    </row>
    <row r="16" customFormat="false" ht="35.05" hidden="false" customHeight="false" outlineLevel="0" collapsed="false">
      <c r="A16" s="6" t="s">
        <v>158</v>
      </c>
      <c r="B16" s="6" t="s">
        <v>141</v>
      </c>
      <c r="C16" s="6" t="s">
        <v>159</v>
      </c>
      <c r="D16" s="6" t="s">
        <v>160</v>
      </c>
      <c r="E16" s="6" t="s">
        <v>151</v>
      </c>
    </row>
    <row r="17" customFormat="false" ht="35.05" hidden="false" customHeight="false" outlineLevel="0" collapsed="false">
      <c r="A17" s="6" t="s">
        <v>161</v>
      </c>
      <c r="B17" s="6" t="s">
        <v>162</v>
      </c>
      <c r="C17" s="6" t="s">
        <v>163</v>
      </c>
      <c r="D17" s="6" t="s">
        <v>164</v>
      </c>
      <c r="E17" s="6" t="s">
        <v>144</v>
      </c>
    </row>
    <row r="18" customFormat="false" ht="35.05" hidden="false" customHeight="false" outlineLevel="0" collapsed="false">
      <c r="A18" s="6" t="s">
        <v>165</v>
      </c>
      <c r="B18" s="6" t="s">
        <v>162</v>
      </c>
      <c r="C18" s="6" t="s">
        <v>166</v>
      </c>
      <c r="D18" s="6" t="s">
        <v>167</v>
      </c>
      <c r="E18" s="6" t="s">
        <v>144</v>
      </c>
    </row>
    <row r="19" customFormat="false" ht="35.05" hidden="false" customHeight="false" outlineLevel="0" collapsed="false">
      <c r="A19" s="6" t="s">
        <v>168</v>
      </c>
      <c r="B19" s="6" t="s">
        <v>162</v>
      </c>
      <c r="C19" s="6" t="s">
        <v>169</v>
      </c>
      <c r="D19" s="6" t="s">
        <v>170</v>
      </c>
      <c r="E19" s="6" t="s">
        <v>124</v>
      </c>
    </row>
    <row r="20" customFormat="false" ht="35.05" hidden="false" customHeight="false" outlineLevel="0" collapsed="false">
      <c r="A20" s="6" t="s">
        <v>171</v>
      </c>
      <c r="B20" s="6" t="s">
        <v>162</v>
      </c>
      <c r="C20" s="6" t="s">
        <v>172</v>
      </c>
      <c r="D20" s="6" t="s">
        <v>173</v>
      </c>
      <c r="E20" s="6" t="s">
        <v>144</v>
      </c>
    </row>
    <row r="21" customFormat="false" ht="23.85" hidden="false" customHeight="false" outlineLevel="0" collapsed="false">
      <c r="A21" s="6" t="s">
        <v>174</v>
      </c>
      <c r="B21" s="6" t="s">
        <v>175</v>
      </c>
      <c r="C21" s="6" t="s">
        <v>176</v>
      </c>
      <c r="D21" s="6" t="s">
        <v>177</v>
      </c>
      <c r="E21" s="6" t="s">
        <v>151</v>
      </c>
    </row>
    <row r="22" customFormat="false" ht="23.85" hidden="false" customHeight="false" outlineLevel="0" collapsed="false">
      <c r="A22" s="6" t="s">
        <v>178</v>
      </c>
      <c r="B22" s="6" t="s">
        <v>175</v>
      </c>
      <c r="C22" s="6" t="s">
        <v>179</v>
      </c>
      <c r="D22" s="6" t="s">
        <v>180</v>
      </c>
      <c r="E22" s="6" t="s">
        <v>151</v>
      </c>
    </row>
    <row r="23" customFormat="false" ht="23.85" hidden="false" customHeight="false" outlineLevel="0" collapsed="false">
      <c r="A23" s="6" t="s">
        <v>181</v>
      </c>
      <c r="B23" s="6" t="s">
        <v>175</v>
      </c>
      <c r="C23" s="6" t="s">
        <v>182</v>
      </c>
      <c r="D23" s="6" t="s">
        <v>183</v>
      </c>
      <c r="E23" s="6" t="s">
        <v>151</v>
      </c>
    </row>
    <row r="24" customFormat="false" ht="23.85" hidden="false" customHeight="false" outlineLevel="0" collapsed="false">
      <c r="A24" s="6" t="s">
        <v>184</v>
      </c>
      <c r="B24" s="6" t="s">
        <v>175</v>
      </c>
      <c r="C24" s="6" t="s">
        <v>185</v>
      </c>
      <c r="D24" s="6" t="s">
        <v>186</v>
      </c>
      <c r="E24" s="6" t="s">
        <v>151</v>
      </c>
    </row>
    <row r="25" customFormat="false" ht="23.85" hidden="false" customHeight="false" outlineLevel="0" collapsed="false">
      <c r="A25" s="6" t="s">
        <v>187</v>
      </c>
      <c r="B25" s="6" t="s">
        <v>175</v>
      </c>
      <c r="C25" s="6" t="s">
        <v>188</v>
      </c>
      <c r="D25" s="6" t="s">
        <v>189</v>
      </c>
      <c r="E25" s="6" t="s">
        <v>151</v>
      </c>
    </row>
    <row r="26" customFormat="false" ht="23.85" hidden="false" customHeight="false" outlineLevel="0" collapsed="false">
      <c r="A26" s="6" t="s">
        <v>190</v>
      </c>
      <c r="B26" s="6" t="s">
        <v>175</v>
      </c>
      <c r="C26" s="6" t="s">
        <v>191</v>
      </c>
      <c r="D26" s="6" t="s">
        <v>192</v>
      </c>
      <c r="E26" s="6" t="s">
        <v>193</v>
      </c>
    </row>
    <row r="27" customFormat="false" ht="23.85" hidden="false" customHeight="false" outlineLevel="0" collapsed="false">
      <c r="A27" s="6" t="s">
        <v>194</v>
      </c>
      <c r="B27" s="6" t="s">
        <v>112</v>
      </c>
      <c r="C27" s="6" t="s">
        <v>195</v>
      </c>
      <c r="D27" s="6" t="s">
        <v>196</v>
      </c>
      <c r="E27" s="6" t="s">
        <v>144</v>
      </c>
    </row>
    <row r="28" customFormat="false" ht="23.85" hidden="false" customHeight="false" outlineLevel="0" collapsed="false">
      <c r="A28" s="6" t="s">
        <v>197</v>
      </c>
      <c r="B28" s="6" t="s">
        <v>112</v>
      </c>
      <c r="C28" s="6" t="s">
        <v>198</v>
      </c>
      <c r="D28" s="6" t="s">
        <v>199</v>
      </c>
      <c r="E28" s="6" t="s">
        <v>151</v>
      </c>
    </row>
    <row r="29" customFormat="false" ht="23.85" hidden="false" customHeight="false" outlineLevel="0" collapsed="false">
      <c r="A29" s="6" t="s">
        <v>200</v>
      </c>
      <c r="B29" s="6" t="s">
        <v>112</v>
      </c>
      <c r="C29" s="6" t="s">
        <v>201</v>
      </c>
      <c r="D29" s="6" t="s">
        <v>202</v>
      </c>
      <c r="E29" s="6" t="s">
        <v>151</v>
      </c>
    </row>
    <row r="30" customFormat="false" ht="23.85" hidden="false" customHeight="false" outlineLevel="0" collapsed="false">
      <c r="A30" s="6" t="s">
        <v>203</v>
      </c>
      <c r="B30" s="6" t="s">
        <v>112</v>
      </c>
      <c r="C30" s="6" t="s">
        <v>204</v>
      </c>
      <c r="D30" s="6" t="s">
        <v>205</v>
      </c>
      <c r="E30" s="6" t="s">
        <v>193</v>
      </c>
    </row>
    <row r="31" customFormat="false" ht="23.85" hidden="false" customHeight="false" outlineLevel="0" collapsed="false">
      <c r="A31" s="6" t="s">
        <v>206</v>
      </c>
      <c r="B31" s="6" t="s">
        <v>112</v>
      </c>
      <c r="C31" s="6" t="s">
        <v>207</v>
      </c>
      <c r="D31" s="6" t="s">
        <v>208</v>
      </c>
      <c r="E31" s="6" t="s">
        <v>144</v>
      </c>
    </row>
    <row r="32" customFormat="false" ht="23.85" hidden="false" customHeight="false" outlineLevel="0" collapsed="false">
      <c r="A32" s="6" t="s">
        <v>209</v>
      </c>
      <c r="B32" s="6" t="s">
        <v>112</v>
      </c>
      <c r="C32" s="6" t="s">
        <v>210</v>
      </c>
      <c r="D32" s="6" t="s">
        <v>211</v>
      </c>
      <c r="E32" s="6" t="s">
        <v>124</v>
      </c>
    </row>
    <row r="33" customFormat="false" ht="23.85" hidden="false" customHeight="false" outlineLevel="0" collapsed="false">
      <c r="A33" s="6" t="s">
        <v>212</v>
      </c>
      <c r="B33" s="6" t="s">
        <v>112</v>
      </c>
      <c r="C33" s="6" t="s">
        <v>213</v>
      </c>
      <c r="D33" s="6" t="s">
        <v>214</v>
      </c>
      <c r="E33" s="6" t="s">
        <v>151</v>
      </c>
    </row>
    <row r="34" customFormat="false" ht="23.85" hidden="false" customHeight="false" outlineLevel="0" collapsed="false">
      <c r="A34" s="6" t="s">
        <v>215</v>
      </c>
      <c r="B34" s="6" t="s">
        <v>216</v>
      </c>
      <c r="C34" s="6" t="s">
        <v>217</v>
      </c>
      <c r="D34" s="6" t="s">
        <v>218</v>
      </c>
      <c r="E34" s="6" t="s">
        <v>144</v>
      </c>
    </row>
    <row r="35" customFormat="false" ht="23.85" hidden="false" customHeight="false" outlineLevel="0" collapsed="false">
      <c r="A35" s="6" t="s">
        <v>219</v>
      </c>
      <c r="B35" s="6" t="s">
        <v>216</v>
      </c>
      <c r="C35" s="6" t="s">
        <v>220</v>
      </c>
      <c r="D35" s="6" t="s">
        <v>221</v>
      </c>
      <c r="E35" s="6" t="s">
        <v>193</v>
      </c>
    </row>
    <row r="36" customFormat="false" ht="23.85" hidden="false" customHeight="false" outlineLevel="0" collapsed="false">
      <c r="A36" s="6" t="s">
        <v>222</v>
      </c>
      <c r="B36" s="6" t="s">
        <v>216</v>
      </c>
      <c r="C36" s="6" t="s">
        <v>223</v>
      </c>
      <c r="D36" s="6" t="s">
        <v>224</v>
      </c>
      <c r="E36" s="6" t="s">
        <v>124</v>
      </c>
    </row>
    <row r="37" customFormat="false" ht="23.85" hidden="false" customHeight="false" outlineLevel="0" collapsed="false">
      <c r="A37" s="6" t="s">
        <v>225</v>
      </c>
      <c r="B37" s="6" t="s">
        <v>216</v>
      </c>
      <c r="C37" s="6" t="s">
        <v>226</v>
      </c>
      <c r="D37" s="6" t="s">
        <v>227</v>
      </c>
      <c r="E37" s="6" t="s">
        <v>124</v>
      </c>
    </row>
    <row r="38" customFormat="false" ht="23.85" hidden="false" customHeight="false" outlineLevel="0" collapsed="false">
      <c r="A38" s="6" t="s">
        <v>228</v>
      </c>
      <c r="B38" s="6" t="s">
        <v>216</v>
      </c>
      <c r="C38" s="6" t="s">
        <v>229</v>
      </c>
      <c r="D38" s="6" t="s">
        <v>230</v>
      </c>
      <c r="E38" s="6" t="s">
        <v>193</v>
      </c>
    </row>
    <row r="39" customFormat="false" ht="23.85" hidden="false" customHeight="false" outlineLevel="0" collapsed="false">
      <c r="A39" s="6" t="s">
        <v>231</v>
      </c>
      <c r="B39" s="6" t="s">
        <v>216</v>
      </c>
      <c r="C39" s="6" t="s">
        <v>232</v>
      </c>
      <c r="D39" s="6" t="s">
        <v>233</v>
      </c>
      <c r="E39" s="6" t="s">
        <v>193</v>
      </c>
    </row>
    <row r="40" customFormat="false" ht="23.85" hidden="false" customHeight="false" outlineLevel="0" collapsed="false">
      <c r="A40" s="6" t="s">
        <v>234</v>
      </c>
      <c r="B40" s="6" t="s">
        <v>216</v>
      </c>
      <c r="C40" s="6" t="s">
        <v>235</v>
      </c>
      <c r="D40" s="6" t="s">
        <v>236</v>
      </c>
      <c r="E40" s="6" t="s">
        <v>193</v>
      </c>
    </row>
    <row r="41" customFormat="false" ht="23.85" hidden="false" customHeight="false" outlineLevel="0" collapsed="false">
      <c r="A41" s="6" t="s">
        <v>237</v>
      </c>
      <c r="B41" s="6" t="s">
        <v>238</v>
      </c>
      <c r="C41" s="6" t="s">
        <v>239</v>
      </c>
      <c r="D41" s="6" t="s">
        <v>240</v>
      </c>
      <c r="E41" s="6" t="s">
        <v>124</v>
      </c>
    </row>
    <row r="42" customFormat="false" ht="23.85" hidden="false" customHeight="false" outlineLevel="0" collapsed="false">
      <c r="A42" s="6" t="s">
        <v>241</v>
      </c>
      <c r="B42" s="6" t="s">
        <v>238</v>
      </c>
      <c r="C42" s="6" t="s">
        <v>242</v>
      </c>
      <c r="D42" s="6" t="s">
        <v>243</v>
      </c>
      <c r="E42" s="6" t="s">
        <v>124</v>
      </c>
    </row>
    <row r="43" customFormat="false" ht="23.85" hidden="false" customHeight="false" outlineLevel="0" collapsed="false">
      <c r="A43" s="6" t="s">
        <v>244</v>
      </c>
      <c r="B43" s="6" t="s">
        <v>238</v>
      </c>
      <c r="C43" s="6" t="s">
        <v>245</v>
      </c>
      <c r="D43" s="6" t="s">
        <v>246</v>
      </c>
      <c r="E43" s="6" t="s">
        <v>124</v>
      </c>
    </row>
    <row r="44" customFormat="false" ht="35.05" hidden="false" customHeight="false" outlineLevel="0" collapsed="false">
      <c r="A44" s="6" t="s">
        <v>247</v>
      </c>
      <c r="B44" s="6" t="s">
        <v>238</v>
      </c>
      <c r="C44" s="6" t="s">
        <v>248</v>
      </c>
      <c r="D44" s="6" t="s">
        <v>249</v>
      </c>
      <c r="E44" s="6" t="s">
        <v>124</v>
      </c>
    </row>
    <row r="45" customFormat="false" ht="23.85" hidden="false" customHeight="false" outlineLevel="0" collapsed="false">
      <c r="A45" s="6" t="s">
        <v>250</v>
      </c>
      <c r="B45" s="6" t="s">
        <v>251</v>
      </c>
      <c r="C45" s="6" t="s">
        <v>252</v>
      </c>
      <c r="D45" s="6" t="s">
        <v>253</v>
      </c>
      <c r="E45" s="6" t="s">
        <v>151</v>
      </c>
    </row>
    <row r="46" customFormat="false" ht="23.85" hidden="false" customHeight="false" outlineLevel="0" collapsed="false">
      <c r="A46" s="6" t="s">
        <v>254</v>
      </c>
      <c r="B46" s="6" t="s">
        <v>251</v>
      </c>
      <c r="C46" s="6" t="s">
        <v>255</v>
      </c>
      <c r="D46" s="6" t="s">
        <v>256</v>
      </c>
      <c r="E46" s="6" t="s">
        <v>151</v>
      </c>
    </row>
    <row r="47" customFormat="false" ht="23.85" hidden="false" customHeight="false" outlineLevel="0" collapsed="false">
      <c r="A47" s="6" t="s">
        <v>257</v>
      </c>
      <c r="B47" s="6" t="s">
        <v>251</v>
      </c>
      <c r="C47" s="6" t="s">
        <v>258</v>
      </c>
      <c r="D47" s="6" t="s">
        <v>259</v>
      </c>
      <c r="E47" s="6" t="s">
        <v>151</v>
      </c>
    </row>
    <row r="48" customFormat="false" ht="23.85" hidden="false" customHeight="false" outlineLevel="0" collapsed="false">
      <c r="A48" s="6" t="s">
        <v>260</v>
      </c>
      <c r="B48" s="6" t="s">
        <v>251</v>
      </c>
      <c r="C48" s="6" t="s">
        <v>261</v>
      </c>
      <c r="D48" s="6" t="s">
        <v>262</v>
      </c>
      <c r="E48" s="6" t="s">
        <v>151</v>
      </c>
    </row>
    <row r="49" customFormat="false" ht="23.85" hidden="false" customHeight="false" outlineLevel="0" collapsed="false">
      <c r="A49" s="6" t="s">
        <v>263</v>
      </c>
      <c r="B49" s="6" t="s">
        <v>264</v>
      </c>
      <c r="C49" s="6" t="s">
        <v>265</v>
      </c>
      <c r="D49" s="6" t="s">
        <v>266</v>
      </c>
      <c r="E49" s="6" t="s">
        <v>151</v>
      </c>
    </row>
    <row r="50" customFormat="false" ht="23.85" hidden="false" customHeight="false" outlineLevel="0" collapsed="false">
      <c r="A50" s="6" t="s">
        <v>267</v>
      </c>
      <c r="B50" s="6" t="s">
        <v>264</v>
      </c>
      <c r="C50" s="6" t="s">
        <v>268</v>
      </c>
      <c r="D50" s="6" t="s">
        <v>269</v>
      </c>
      <c r="E50" s="6" t="s">
        <v>151</v>
      </c>
    </row>
    <row r="51" customFormat="false" ht="23.85" hidden="false" customHeight="false" outlineLevel="0" collapsed="false">
      <c r="A51" s="6" t="s">
        <v>270</v>
      </c>
      <c r="B51" s="6" t="s">
        <v>264</v>
      </c>
      <c r="C51" s="6" t="s">
        <v>271</v>
      </c>
      <c r="D51" s="6" t="s">
        <v>272</v>
      </c>
      <c r="E51" s="6" t="s">
        <v>151</v>
      </c>
    </row>
    <row r="52" customFormat="false" ht="23.85" hidden="false" customHeight="false" outlineLevel="0" collapsed="false">
      <c r="A52" s="6" t="s">
        <v>273</v>
      </c>
      <c r="B52" s="6" t="s">
        <v>274</v>
      </c>
      <c r="C52" s="6" t="s">
        <v>275</v>
      </c>
      <c r="D52" s="6" t="s">
        <v>276</v>
      </c>
      <c r="E52" s="6" t="s">
        <v>151</v>
      </c>
    </row>
    <row r="53" customFormat="false" ht="23.85" hidden="false" customHeight="false" outlineLevel="0" collapsed="false">
      <c r="A53" s="6" t="s">
        <v>277</v>
      </c>
      <c r="B53" s="6" t="s">
        <v>274</v>
      </c>
      <c r="C53" s="6" t="s">
        <v>278</v>
      </c>
      <c r="D53" s="6" t="s">
        <v>279</v>
      </c>
      <c r="E53" s="6" t="s">
        <v>151</v>
      </c>
    </row>
    <row r="54" customFormat="false" ht="23.85" hidden="false" customHeight="false" outlineLevel="0" collapsed="false">
      <c r="A54" s="6" t="s">
        <v>280</v>
      </c>
      <c r="B54" s="6" t="s">
        <v>274</v>
      </c>
      <c r="C54" s="6" t="s">
        <v>281</v>
      </c>
      <c r="D54" s="6" t="s">
        <v>282</v>
      </c>
      <c r="E54" s="6" t="s">
        <v>151</v>
      </c>
    </row>
    <row r="55" customFormat="false" ht="23.85" hidden="false" customHeight="false" outlineLevel="0" collapsed="false">
      <c r="A55" s="6" t="s">
        <v>283</v>
      </c>
      <c r="B55" s="6" t="s">
        <v>274</v>
      </c>
      <c r="C55" s="6" t="s">
        <v>284</v>
      </c>
      <c r="D55" s="6" t="s">
        <v>285</v>
      </c>
      <c r="E55" s="6" t="s">
        <v>151</v>
      </c>
    </row>
    <row r="56" customFormat="false" ht="23.85" hidden="false" customHeight="false" outlineLevel="0" collapsed="false">
      <c r="A56" s="6" t="s">
        <v>286</v>
      </c>
      <c r="B56" s="6" t="s">
        <v>274</v>
      </c>
      <c r="C56" s="6" t="s">
        <v>287</v>
      </c>
      <c r="D56" s="6" t="s">
        <v>288</v>
      </c>
      <c r="E56" s="6" t="s">
        <v>151</v>
      </c>
    </row>
    <row r="57" customFormat="false" ht="23.85" hidden="false" customHeight="false" outlineLevel="0" collapsed="false">
      <c r="A57" s="6" t="s">
        <v>289</v>
      </c>
      <c r="B57" s="6" t="s">
        <v>274</v>
      </c>
      <c r="C57" s="6" t="s">
        <v>290</v>
      </c>
      <c r="D57" s="6" t="s">
        <v>291</v>
      </c>
      <c r="E57" s="6" t="s">
        <v>151</v>
      </c>
    </row>
    <row r="58" customFormat="false" ht="23.85" hidden="false" customHeight="false" outlineLevel="0" collapsed="false">
      <c r="A58" s="6" t="s">
        <v>292</v>
      </c>
      <c r="B58" s="6" t="s">
        <v>274</v>
      </c>
      <c r="C58" s="6" t="s">
        <v>293</v>
      </c>
      <c r="D58" s="6" t="s">
        <v>294</v>
      </c>
      <c r="E58" s="6" t="s">
        <v>151</v>
      </c>
    </row>
    <row r="59" customFormat="false" ht="23.85" hidden="false" customHeight="false" outlineLevel="0" collapsed="false">
      <c r="A59" s="6" t="s">
        <v>295</v>
      </c>
      <c r="B59" s="6" t="s">
        <v>296</v>
      </c>
      <c r="C59" s="6" t="s">
        <v>297</v>
      </c>
      <c r="D59" s="6" t="s">
        <v>298</v>
      </c>
      <c r="E59" s="6" t="s">
        <v>124</v>
      </c>
    </row>
    <row r="60" customFormat="false" ht="23.85" hidden="false" customHeight="false" outlineLevel="0" collapsed="false">
      <c r="A60" s="6" t="s">
        <v>299</v>
      </c>
      <c r="B60" s="6" t="s">
        <v>296</v>
      </c>
      <c r="C60" s="6" t="s">
        <v>300</v>
      </c>
      <c r="D60" s="6" t="s">
        <v>301</v>
      </c>
      <c r="E60" s="6" t="s">
        <v>124</v>
      </c>
    </row>
    <row r="61" customFormat="false" ht="23.85" hidden="false" customHeight="false" outlineLevel="0" collapsed="false">
      <c r="A61" s="6" t="s">
        <v>302</v>
      </c>
      <c r="B61" s="6" t="s">
        <v>296</v>
      </c>
      <c r="C61" s="6" t="s">
        <v>303</v>
      </c>
      <c r="D61" s="6" t="s">
        <v>304</v>
      </c>
      <c r="E61" s="6" t="s">
        <v>124</v>
      </c>
    </row>
    <row r="62" customFormat="false" ht="35.05" hidden="false" customHeight="false" outlineLevel="0" collapsed="false">
      <c r="A62" s="6" t="s">
        <v>305</v>
      </c>
      <c r="B62" s="6" t="s">
        <v>296</v>
      </c>
      <c r="C62" s="6" t="s">
        <v>306</v>
      </c>
      <c r="D62" s="6" t="s">
        <v>307</v>
      </c>
      <c r="E62" s="6" t="s">
        <v>144</v>
      </c>
    </row>
    <row r="63" customFormat="false" ht="23.85" hidden="false" customHeight="false" outlineLevel="0" collapsed="false">
      <c r="A63" s="6" t="s">
        <v>308</v>
      </c>
      <c r="B63" s="6" t="s">
        <v>296</v>
      </c>
      <c r="C63" s="6" t="s">
        <v>309</v>
      </c>
      <c r="D63" s="6" t="s">
        <v>310</v>
      </c>
      <c r="E63" s="6" t="s">
        <v>151</v>
      </c>
    </row>
    <row r="64" customFormat="false" ht="23.85" hidden="false" customHeight="false" outlineLevel="0" collapsed="false">
      <c r="A64" s="6" t="s">
        <v>311</v>
      </c>
      <c r="B64" s="6" t="s">
        <v>312</v>
      </c>
      <c r="C64" s="6" t="s">
        <v>313</v>
      </c>
      <c r="D64" s="6" t="s">
        <v>314</v>
      </c>
      <c r="E64" s="6" t="s">
        <v>124</v>
      </c>
    </row>
    <row r="65" customFormat="false" ht="23.85" hidden="false" customHeight="false" outlineLevel="0" collapsed="false">
      <c r="A65" s="6" t="s">
        <v>315</v>
      </c>
      <c r="B65" s="6" t="s">
        <v>312</v>
      </c>
      <c r="C65" s="6" t="s">
        <v>316</v>
      </c>
      <c r="D65" s="6" t="s">
        <v>317</v>
      </c>
      <c r="E65" s="6" t="s">
        <v>124</v>
      </c>
    </row>
    <row r="66" customFormat="false" ht="23.85" hidden="false" customHeight="false" outlineLevel="0" collapsed="false">
      <c r="A66" s="6" t="s">
        <v>318</v>
      </c>
      <c r="B66" s="6" t="s">
        <v>312</v>
      </c>
      <c r="C66" s="6" t="s">
        <v>319</v>
      </c>
      <c r="D66" s="6" t="s">
        <v>320</v>
      </c>
      <c r="E66" s="6" t="s">
        <v>151</v>
      </c>
    </row>
    <row r="67" customFormat="false" ht="23.85" hidden="false" customHeight="false" outlineLevel="0" collapsed="false">
      <c r="A67" s="6" t="s">
        <v>321</v>
      </c>
      <c r="B67" s="6" t="s">
        <v>322</v>
      </c>
      <c r="C67" s="6" t="s">
        <v>323</v>
      </c>
      <c r="D67" s="6" t="s">
        <v>324</v>
      </c>
      <c r="E67" s="6" t="s">
        <v>124</v>
      </c>
    </row>
    <row r="68" customFormat="false" ht="23.85" hidden="false" customHeight="false" outlineLevel="0" collapsed="false">
      <c r="A68" s="6" t="s">
        <v>325</v>
      </c>
      <c r="B68" s="6" t="s">
        <v>322</v>
      </c>
      <c r="C68" s="6" t="s">
        <v>326</v>
      </c>
      <c r="D68" s="6" t="s">
        <v>327</v>
      </c>
      <c r="E68" s="6" t="s">
        <v>124</v>
      </c>
    </row>
    <row r="69" customFormat="false" ht="23.85" hidden="false" customHeight="false" outlineLevel="0" collapsed="false">
      <c r="A69" s="6" t="s">
        <v>328</v>
      </c>
      <c r="B69" s="6" t="s">
        <v>329</v>
      </c>
      <c r="C69" s="6" t="s">
        <v>330</v>
      </c>
      <c r="D69" s="6" t="s">
        <v>331</v>
      </c>
      <c r="E69" s="6" t="s">
        <v>144</v>
      </c>
    </row>
    <row r="70" customFormat="false" ht="23.85" hidden="false" customHeight="false" outlineLevel="0" collapsed="false">
      <c r="A70" s="6" t="s">
        <v>332</v>
      </c>
      <c r="B70" s="6" t="s">
        <v>329</v>
      </c>
      <c r="C70" s="6" t="s">
        <v>333</v>
      </c>
      <c r="D70" s="6" t="s">
        <v>334</v>
      </c>
      <c r="E70" s="6" t="s">
        <v>144</v>
      </c>
    </row>
    <row r="71" customFormat="false" ht="23.85" hidden="false" customHeight="false" outlineLevel="0" collapsed="false">
      <c r="A71" s="6" t="s">
        <v>335</v>
      </c>
      <c r="B71" s="6" t="s">
        <v>329</v>
      </c>
      <c r="C71" s="6" t="s">
        <v>336</v>
      </c>
      <c r="D71" s="6" t="s">
        <v>337</v>
      </c>
      <c r="E71" s="6" t="s">
        <v>144</v>
      </c>
    </row>
    <row r="72" customFormat="false" ht="23.85" hidden="false" customHeight="false" outlineLevel="0" collapsed="false">
      <c r="A72" s="6" t="s">
        <v>338</v>
      </c>
      <c r="B72" s="6" t="s">
        <v>329</v>
      </c>
      <c r="C72" s="6" t="s">
        <v>339</v>
      </c>
      <c r="D72" s="6" t="s">
        <v>340</v>
      </c>
      <c r="E72" s="6" t="s">
        <v>144</v>
      </c>
    </row>
    <row r="73" customFormat="false" ht="23.85" hidden="false" customHeight="false" outlineLevel="0" collapsed="false">
      <c r="A73" s="6" t="s">
        <v>341</v>
      </c>
      <c r="B73" s="6" t="s">
        <v>329</v>
      </c>
      <c r="C73" s="6" t="s">
        <v>342</v>
      </c>
      <c r="D73" s="6" t="s">
        <v>343</v>
      </c>
      <c r="E73" s="6" t="s">
        <v>144</v>
      </c>
    </row>
    <row r="74" customFormat="false" ht="23.85" hidden="false" customHeight="false" outlineLevel="0" collapsed="false">
      <c r="A74" s="6" t="s">
        <v>344</v>
      </c>
      <c r="B74" s="6" t="s">
        <v>345</v>
      </c>
      <c r="C74" s="6" t="s">
        <v>346</v>
      </c>
      <c r="D74" s="6" t="s">
        <v>347</v>
      </c>
      <c r="E74" s="6" t="s">
        <v>144</v>
      </c>
    </row>
    <row r="75" customFormat="false" ht="23.85" hidden="false" customHeight="false" outlineLevel="0" collapsed="false">
      <c r="A75" s="6" t="s">
        <v>348</v>
      </c>
      <c r="B75" s="6" t="s">
        <v>345</v>
      </c>
      <c r="C75" s="6" t="s">
        <v>349</v>
      </c>
      <c r="D75" s="6" t="s">
        <v>350</v>
      </c>
      <c r="E75" s="6" t="s">
        <v>144</v>
      </c>
    </row>
    <row r="76" customFormat="false" ht="23.85" hidden="false" customHeight="false" outlineLevel="0" collapsed="false">
      <c r="A76" s="6" t="s">
        <v>351</v>
      </c>
      <c r="B76" s="6" t="s">
        <v>345</v>
      </c>
      <c r="C76" s="6" t="s">
        <v>352</v>
      </c>
      <c r="D76" s="6" t="s">
        <v>353</v>
      </c>
      <c r="E76" s="6" t="s">
        <v>144</v>
      </c>
    </row>
    <row r="77" customFormat="false" ht="23.85" hidden="false" customHeight="false" outlineLevel="0" collapsed="false">
      <c r="A77" s="6" t="s">
        <v>354</v>
      </c>
      <c r="B77" s="6" t="s">
        <v>345</v>
      </c>
      <c r="C77" s="6" t="s">
        <v>355</v>
      </c>
      <c r="D77" s="6" t="s">
        <v>356</v>
      </c>
      <c r="E77" s="6" t="s">
        <v>124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11"/>
    <col collapsed="false" customWidth="true" hidden="false" outlineLevel="0" max="4" min="4" style="0" width="32"/>
    <col collapsed="false" customWidth="true" hidden="false" outlineLevel="0" max="5" min="5" style="0" width="55"/>
    <col collapsed="false" customWidth="true" hidden="false" outlineLevel="0" max="6" min="6" style="0" width="26"/>
    <col collapsed="false" customWidth="true" hidden="false" outlineLevel="0" max="8" min="7" style="0" width="14"/>
    <col collapsed="false" customWidth="true" hidden="false" outlineLevel="0" max="11" min="9" style="0" width="11"/>
    <col collapsed="false" customWidth="true" hidden="false" outlineLevel="0" max="12" min="12" style="0" width="40"/>
    <col collapsed="false" customWidth="true" hidden="false" outlineLevel="0" max="13" min="13" style="0" width="24"/>
  </cols>
  <sheetData>
    <row r="1" customFormat="false" ht="17.35" hidden="false" customHeight="false" outlineLevel="0" collapsed="false">
      <c r="A1" s="1" t="s">
        <v>357</v>
      </c>
    </row>
    <row r="2" customFormat="false" ht="15" hidden="false" customHeight="false" outlineLevel="0" collapsed="false">
      <c r="A2" s="10" t="s">
        <v>358</v>
      </c>
    </row>
    <row r="4" customFormat="false" ht="57.45" hidden="false" customHeight="false" outlineLevel="0" collapsed="false">
      <c r="A4" s="4" t="s">
        <v>359</v>
      </c>
      <c r="B4" s="4" t="s">
        <v>360</v>
      </c>
      <c r="C4" s="4" t="s">
        <v>361</v>
      </c>
      <c r="D4" s="4" t="s">
        <v>362</v>
      </c>
      <c r="E4" s="4" t="s">
        <v>363</v>
      </c>
      <c r="F4" s="4" t="s">
        <v>364</v>
      </c>
      <c r="G4" s="4" t="s">
        <v>365</v>
      </c>
      <c r="H4" s="4" t="s">
        <v>366</v>
      </c>
      <c r="I4" s="4" t="s">
        <v>367</v>
      </c>
      <c r="J4" s="4" t="s">
        <v>368</v>
      </c>
      <c r="K4" s="4" t="s">
        <v>369</v>
      </c>
      <c r="L4" s="4" t="s">
        <v>370</v>
      </c>
      <c r="M4" s="4" t="s">
        <v>371</v>
      </c>
    </row>
    <row r="5" customFormat="false" ht="23.85" hidden="false" customHeight="false" outlineLevel="0" collapsed="false">
      <c r="A5" s="6" t="s">
        <v>372</v>
      </c>
      <c r="B5" s="6" t="s">
        <v>373</v>
      </c>
      <c r="C5" s="6" t="s">
        <v>121</v>
      </c>
      <c r="D5" s="6" t="s">
        <v>374</v>
      </c>
      <c r="E5" s="6" t="s">
        <v>375</v>
      </c>
      <c r="F5" s="6" t="s">
        <v>376</v>
      </c>
      <c r="G5" s="13" t="n">
        <f aca="false">COUNTIFS(NBSAP_Commitments!$G$5:$G$1000,C5,NBSAP_Commitments!$B$5:$B$1000,Inputs!$B$6)</f>
        <v>4</v>
      </c>
      <c r="H5" s="14" t="n">
        <f aca="false">SUMIFS(NBSAP_Commitments!$J$5:$J$1000,NBSAP_Commitments!$G$5:$G$1000,C5,NBSAP_Commitments!$B$5:$B$1000,Inputs!$B$6)/1000000000</f>
        <v>0.22968</v>
      </c>
      <c r="I5" s="15" t="n">
        <f aca="false">IF(H5&lt;=0,0,PERCENTRANK($H$5:$H$19,H5))</f>
        <v>0.286</v>
      </c>
      <c r="J5" s="16" t="n">
        <f aca="false">IF(G5&gt;=Rubric!$B$22,5,IF(G5&gt;=Rubric!$B$23,4,IF(G5&gt;=Rubric!$B$24,3,IF(G5&gt;=Rubric!$B$25,2,1))))</f>
        <v>5</v>
      </c>
      <c r="K5" s="16" t="n">
        <f aca="false">IF(H5&lt;=0,1,IF(I5&gt;=Rubric!$B$29,5,IF(I5&gt;=Rubric!$B$30,4,IF(I5&gt;=Rubric!$B$31,3,IF(I5&gt;=Rubric!$B$32,2,1)))))</f>
        <v>2</v>
      </c>
      <c r="L5" s="8" t="str">
        <f aca="false">IFERROR(INDEX(NBSAP_Targets!$C:$C,MATCH(1,INDEX((NBSAP_Targets!$A$5:$A$500=Inputs!$B$6)*(NBSAP_Targets!$B$5:$B$500=C5),0),0)+4),"[to confirm]")</f>
        <v>Goal 3: Water</v>
      </c>
      <c r="M5" s="6" t="s">
        <v>374</v>
      </c>
    </row>
    <row r="6" customFormat="false" ht="46.25" hidden="false" customHeight="false" outlineLevel="0" collapsed="false">
      <c r="A6" s="6" t="s">
        <v>372</v>
      </c>
      <c r="B6" s="6" t="s">
        <v>373</v>
      </c>
      <c r="C6" s="6" t="s">
        <v>141</v>
      </c>
      <c r="D6" s="6" t="s">
        <v>377</v>
      </c>
      <c r="E6" s="6" t="s">
        <v>378</v>
      </c>
      <c r="F6" s="6" t="s">
        <v>379</v>
      </c>
      <c r="G6" s="13" t="n">
        <f aca="false">COUNTIFS(NBSAP_Commitments!$G$5:$G$1000,C6,NBSAP_Commitments!$B$5:$B$1000,Inputs!$B$6)</f>
        <v>5</v>
      </c>
      <c r="H6" s="14" t="n">
        <f aca="false">SUMIFS(NBSAP_Commitments!$J$5:$J$1000,NBSAP_Commitments!$G$5:$G$1000,C6,NBSAP_Commitments!$B$5:$B$1000,Inputs!$B$6)/1000000000</f>
        <v>4.90512</v>
      </c>
      <c r="I6" s="15" t="n">
        <f aca="false">IF(H6&lt;=0,0,PERCENTRANK($H$5:$H$19,H6))</f>
        <v>0.714</v>
      </c>
      <c r="J6" s="16" t="n">
        <f aca="false">IF(G6&gt;=Rubric!$B$22,5,IF(G6&gt;=Rubric!$B$23,4,IF(G6&gt;=Rubric!$B$24,3,IF(G6&gt;=Rubric!$B$25,2,1))))</f>
        <v>5</v>
      </c>
      <c r="K6" s="16" t="n">
        <f aca="false">IF(H6&lt;=0,1,IF(I6&gt;=Rubric!$B$29,5,IF(I6&gt;=Rubric!$B$30,4,IF(I6&gt;=Rubric!$B$31,3,IF(I6&gt;=Rubric!$B$32,2,1)))))</f>
        <v>4</v>
      </c>
      <c r="L6" s="8" t="str">
        <f aca="false">IFERROR(INDEX(NBSAP_Targets!$C:$C,MATCH(1,INDEX((NBSAP_Targets!$A$5:$A$500=Inputs!$B$6)*(NBSAP_Targets!$B$5:$B$500=C6),0),0)+4),"[to confirm]")</f>
        <v>[to confirm]</v>
      </c>
      <c r="M6" s="6" t="s">
        <v>377</v>
      </c>
    </row>
    <row r="7" customFormat="false" ht="35.05" hidden="false" customHeight="false" outlineLevel="0" collapsed="false">
      <c r="A7" s="6" t="s">
        <v>372</v>
      </c>
      <c r="B7" s="6" t="s">
        <v>373</v>
      </c>
      <c r="C7" s="6" t="s">
        <v>162</v>
      </c>
      <c r="D7" s="6" t="s">
        <v>380</v>
      </c>
      <c r="E7" s="6" t="s">
        <v>381</v>
      </c>
      <c r="F7" s="6" t="s">
        <v>376</v>
      </c>
      <c r="G7" s="13" t="n">
        <f aca="false">COUNTIFS(NBSAP_Commitments!$G$5:$G$1000,C7,NBSAP_Commitments!$B$5:$B$1000,Inputs!$B$6)</f>
        <v>3</v>
      </c>
      <c r="H7" s="14" t="n">
        <f aca="false">SUMIFS(NBSAP_Commitments!$J$5:$J$1000,NBSAP_Commitments!$G$5:$G$1000,C7,NBSAP_Commitments!$B$5:$B$1000,Inputs!$B$6)/1000000000</f>
        <v>2.904</v>
      </c>
      <c r="I7" s="15" t="n">
        <f aca="false">IF(H7&lt;=0,0,PERCENTRANK($H$5:$H$19,H7))</f>
        <v>0.643</v>
      </c>
      <c r="J7" s="16" t="n">
        <f aca="false">IF(G7&gt;=Rubric!$B$22,5,IF(G7&gt;=Rubric!$B$23,4,IF(G7&gt;=Rubric!$B$24,3,IF(G7&gt;=Rubric!$B$25,2,1))))</f>
        <v>4</v>
      </c>
      <c r="K7" s="16" t="n">
        <f aca="false">IF(H7&lt;=0,1,IF(I7&gt;=Rubric!$B$29,5,IF(I7&gt;=Rubric!$B$30,4,IF(I7&gt;=Rubric!$B$31,3,IF(I7&gt;=Rubric!$B$32,2,1)))))</f>
        <v>4</v>
      </c>
      <c r="L7" s="8" t="str">
        <f aca="false">IFERROR(INDEX(NBSAP_Targets!$C:$C,MATCH(1,INDEX((NBSAP_Targets!$A$5:$A$500=Inputs!$B$6)*(NBSAP_Targets!$B$5:$B$500=C7),0),0)+4),"[to confirm]")</f>
        <v>[to confirm]</v>
      </c>
      <c r="M7" s="6" t="s">
        <v>380</v>
      </c>
    </row>
    <row r="8" customFormat="false" ht="35.05" hidden="false" customHeight="false" outlineLevel="0" collapsed="false">
      <c r="A8" s="6" t="s">
        <v>382</v>
      </c>
      <c r="B8" s="6" t="s">
        <v>383</v>
      </c>
      <c r="C8" s="6" t="s">
        <v>175</v>
      </c>
      <c r="D8" s="6" t="s">
        <v>384</v>
      </c>
      <c r="E8" s="6" t="s">
        <v>385</v>
      </c>
      <c r="F8" s="6" t="s">
        <v>386</v>
      </c>
      <c r="G8" s="13" t="n">
        <f aca="false">COUNTIFS(NBSAP_Commitments!$G$5:$G$1000,C8,NBSAP_Commitments!$B$5:$B$1000,Inputs!$B$6)</f>
        <v>2</v>
      </c>
      <c r="H8" s="14" t="n">
        <f aca="false">SUMIFS(NBSAP_Commitments!$J$5:$J$1000,NBSAP_Commitments!$G$5:$G$1000,C8,NBSAP_Commitments!$B$5:$B$1000,Inputs!$B$6)/1000000000</f>
        <v>2.39712</v>
      </c>
      <c r="I8" s="15" t="n">
        <f aca="false">IF(H8&lt;=0,0,PERCENTRANK($H$5:$H$19,H8))</f>
        <v>0.571</v>
      </c>
      <c r="J8" s="16" t="n">
        <f aca="false">IF(G8&gt;=Rubric!$B$22,5,IF(G8&gt;=Rubric!$B$23,4,IF(G8&gt;=Rubric!$B$24,3,IF(G8&gt;=Rubric!$B$25,2,1))))</f>
        <v>3</v>
      </c>
      <c r="K8" s="16" t="n">
        <f aca="false">IF(H8&lt;=0,1,IF(I8&gt;=Rubric!$B$29,5,IF(I8&gt;=Rubric!$B$30,4,IF(I8&gt;=Rubric!$B$31,3,IF(I8&gt;=Rubric!$B$32,2,1)))))</f>
        <v>3</v>
      </c>
      <c r="L8" s="8" t="str">
        <f aca="false">IFERROR(INDEX(NBSAP_Targets!$C:$C,MATCH(1,INDEX((NBSAP_Targets!$A$5:$A$500=Inputs!$B$6)*(NBSAP_Targets!$B$5:$B$500=C8),0),0)+4),"[to confirm]")</f>
        <v>[to confirm]</v>
      </c>
      <c r="M8" s="6" t="s">
        <v>387</v>
      </c>
    </row>
    <row r="9" customFormat="false" ht="35.05" hidden="false" customHeight="false" outlineLevel="0" collapsed="false">
      <c r="A9" s="6" t="s">
        <v>382</v>
      </c>
      <c r="B9" s="6" t="s">
        <v>383</v>
      </c>
      <c r="C9" s="6" t="s">
        <v>112</v>
      </c>
      <c r="D9" s="6" t="s">
        <v>388</v>
      </c>
      <c r="E9" s="6" t="s">
        <v>389</v>
      </c>
      <c r="F9" s="6" t="s">
        <v>390</v>
      </c>
      <c r="G9" s="13" t="n">
        <f aca="false">COUNTIFS(NBSAP_Commitments!$G$5:$G$1000,C9,NBSAP_Commitments!$B$5:$B$1000,Inputs!$B$6)</f>
        <v>2</v>
      </c>
      <c r="H9" s="14" t="n">
        <f aca="false">SUMIFS(NBSAP_Commitments!$J$5:$J$1000,NBSAP_Commitments!$G$5:$G$1000,C9,NBSAP_Commitments!$B$5:$B$1000,Inputs!$B$6)/1000000000</f>
        <v>6.6</v>
      </c>
      <c r="I9" s="15" t="n">
        <f aca="false">IF(H9&lt;=0,0,PERCENTRANK($H$5:$H$19,H9))</f>
        <v>0.786</v>
      </c>
      <c r="J9" s="16" t="n">
        <f aca="false">IF(G9&gt;=Rubric!$B$22,5,IF(G9&gt;=Rubric!$B$23,4,IF(G9&gt;=Rubric!$B$24,3,IF(G9&gt;=Rubric!$B$25,2,1))))</f>
        <v>3</v>
      </c>
      <c r="K9" s="16" t="n">
        <f aca="false">IF(H9&lt;=0,1,IF(I9&gt;=Rubric!$B$29,5,IF(I9&gt;=Rubric!$B$30,4,IF(I9&gt;=Rubric!$B$31,3,IF(I9&gt;=Rubric!$B$32,2,1)))))</f>
        <v>4</v>
      </c>
      <c r="L9" s="8" t="str">
        <f aca="false">IFERROR(INDEX(NBSAP_Targets!$C:$C,MATCH(1,INDEX((NBSAP_Targets!$A$5:$A$500=Inputs!$B$6)*(NBSAP_Targets!$B$5:$B$500=C9),0),0)+4),"[to confirm]")</f>
        <v>[to confirm]</v>
      </c>
      <c r="M9" s="6" t="s">
        <v>109</v>
      </c>
    </row>
    <row r="10" customFormat="false" ht="35.05" hidden="false" customHeight="false" outlineLevel="0" collapsed="false">
      <c r="A10" s="6" t="s">
        <v>382</v>
      </c>
      <c r="B10" s="6" t="s">
        <v>383</v>
      </c>
      <c r="C10" s="6" t="s">
        <v>216</v>
      </c>
      <c r="D10" s="6" t="s">
        <v>391</v>
      </c>
      <c r="E10" s="6" t="s">
        <v>392</v>
      </c>
      <c r="F10" s="6" t="s">
        <v>393</v>
      </c>
      <c r="G10" s="13" t="n">
        <f aca="false">COUNTIFS(NBSAP_Commitments!$G$5:$G$1000,C10,NBSAP_Commitments!$B$5:$B$1000,Inputs!$B$6)</f>
        <v>1</v>
      </c>
      <c r="H10" s="14" t="n">
        <f aca="false">SUMIFS(NBSAP_Commitments!$J$5:$J$1000,NBSAP_Commitments!$G$5:$G$1000,C10,NBSAP_Commitments!$B$5:$B$1000,Inputs!$B$6)/1000000000</f>
        <v>0.4752</v>
      </c>
      <c r="I10" s="15" t="n">
        <f aca="false">IF(H10&lt;=0,0,PERCENTRANK($H$5:$H$19,H10))</f>
        <v>0.429</v>
      </c>
      <c r="J10" s="16" t="n">
        <f aca="false">IF(G10&gt;=Rubric!$B$22,5,IF(G10&gt;=Rubric!$B$23,4,IF(G10&gt;=Rubric!$B$24,3,IF(G10&gt;=Rubric!$B$25,2,1))))</f>
        <v>2</v>
      </c>
      <c r="K10" s="16" t="n">
        <f aca="false">IF(H10&lt;=0,1,IF(I10&gt;=Rubric!$B$29,5,IF(I10&gt;=Rubric!$B$30,4,IF(I10&gt;=Rubric!$B$31,3,IF(I10&gt;=Rubric!$B$32,2,1)))))</f>
        <v>3</v>
      </c>
      <c r="L10" s="8" t="str">
        <f aca="false">IFERROR(INDEX(NBSAP_Targets!$C:$C,MATCH(1,INDEX((NBSAP_Targets!$A$5:$A$500=Inputs!$B$6)*(NBSAP_Targets!$B$5:$B$500=C10),0),0)+4),"[to confirm]")</f>
        <v>[to confirm]</v>
      </c>
      <c r="M10" s="6" t="s">
        <v>394</v>
      </c>
    </row>
    <row r="11" customFormat="false" ht="23.85" hidden="false" customHeight="false" outlineLevel="0" collapsed="false">
      <c r="A11" s="6" t="s">
        <v>395</v>
      </c>
      <c r="B11" s="6" t="s">
        <v>396</v>
      </c>
      <c r="C11" s="6" t="s">
        <v>238</v>
      </c>
      <c r="D11" s="6" t="s">
        <v>397</v>
      </c>
      <c r="E11" s="6" t="s">
        <v>398</v>
      </c>
      <c r="F11" s="6" t="s">
        <v>386</v>
      </c>
      <c r="G11" s="13" t="n">
        <f aca="false">COUNTIFS(NBSAP_Commitments!$G$5:$G$1000,C11,NBSAP_Commitments!$B$5:$B$1000,Inputs!$B$6)</f>
        <v>1</v>
      </c>
      <c r="H11" s="14" t="n">
        <f aca="false">SUMIFS(NBSAP_Commitments!$J$5:$J$1000,NBSAP_Commitments!$G$5:$G$1000,C11,NBSAP_Commitments!$B$5:$B$1000,Inputs!$B$6)/1000000000</f>
        <v>0.01584</v>
      </c>
      <c r="I11" s="15" t="n">
        <f aca="false">IF(H11&lt;=0,0,PERCENTRANK($H$5:$H$19,H11))</f>
        <v>0.143</v>
      </c>
      <c r="J11" s="16" t="n">
        <f aca="false">IF(G11&gt;=Rubric!$B$22,5,IF(G11&gt;=Rubric!$B$23,4,IF(G11&gt;=Rubric!$B$24,3,IF(G11&gt;=Rubric!$B$25,2,1))))</f>
        <v>2</v>
      </c>
      <c r="K11" s="16" t="n">
        <f aca="false">IF(H11&lt;=0,1,IF(I11&gt;=Rubric!$B$29,5,IF(I11&gt;=Rubric!$B$30,4,IF(I11&gt;=Rubric!$B$31,3,IF(I11&gt;=Rubric!$B$32,2,1)))))</f>
        <v>1</v>
      </c>
      <c r="L11" s="8" t="str">
        <f aca="false">IFERROR(INDEX(NBSAP_Targets!$C:$C,MATCH(1,INDEX((NBSAP_Targets!$A$5:$A$500=Inputs!$B$6)*(NBSAP_Targets!$B$5:$B$500=C11),0),0)+4),"[to confirm]")</f>
        <v>[to confirm]</v>
      </c>
      <c r="M11" s="6" t="s">
        <v>397</v>
      </c>
    </row>
    <row r="12" customFormat="false" ht="46.25" hidden="false" customHeight="false" outlineLevel="0" collapsed="false">
      <c r="A12" s="6" t="s">
        <v>395</v>
      </c>
      <c r="B12" s="6" t="s">
        <v>396</v>
      </c>
      <c r="C12" s="6" t="s">
        <v>251</v>
      </c>
      <c r="D12" s="6" t="s">
        <v>399</v>
      </c>
      <c r="E12" s="6" t="s">
        <v>400</v>
      </c>
      <c r="F12" s="6" t="s">
        <v>390</v>
      </c>
      <c r="G12" s="13" t="n">
        <f aca="false">COUNTIFS(NBSAP_Commitments!$G$5:$G$1000,C12,NBSAP_Commitments!$B$5:$B$1000,Inputs!$B$6)</f>
        <v>0</v>
      </c>
      <c r="H12" s="14" t="n">
        <f aca="false">SUMIFS(NBSAP_Commitments!$J$5:$J$1000,NBSAP_Commitments!$G$5:$G$1000,C12,NBSAP_Commitments!$B$5:$B$1000,Inputs!$B$6)/1000000000</f>
        <v>0</v>
      </c>
      <c r="I12" s="15" t="n">
        <f aca="false">IF(H12&lt;=0,0,PERCENTRANK($H$5:$H$19,H12))</f>
        <v>0</v>
      </c>
      <c r="J12" s="16" t="n">
        <f aca="false">IF(G12&gt;=Rubric!$B$22,5,IF(G12&gt;=Rubric!$B$23,4,IF(G12&gt;=Rubric!$B$24,3,IF(G12&gt;=Rubric!$B$25,2,1))))</f>
        <v>1</v>
      </c>
      <c r="K12" s="16" t="n">
        <f aca="false">IF(H12&lt;=0,1,IF(I12&gt;=Rubric!$B$29,5,IF(I12&gt;=Rubric!$B$30,4,IF(I12&gt;=Rubric!$B$31,3,IF(I12&gt;=Rubric!$B$32,2,1)))))</f>
        <v>1</v>
      </c>
      <c r="L12" s="8" t="str">
        <f aca="false">IFERROR(INDEX(NBSAP_Targets!$C:$C,MATCH(1,INDEX((NBSAP_Targets!$A$5:$A$500=Inputs!$B$6)*(NBSAP_Targets!$B$5:$B$500=C12),0),0)+4),"[to confirm]")</f>
        <v>[to confirm]</v>
      </c>
      <c r="M12" s="6" t="s">
        <v>401</v>
      </c>
    </row>
    <row r="13" customFormat="false" ht="46.25" hidden="false" customHeight="false" outlineLevel="0" collapsed="false">
      <c r="A13" s="6" t="s">
        <v>395</v>
      </c>
      <c r="B13" s="6" t="s">
        <v>396</v>
      </c>
      <c r="C13" s="6" t="s">
        <v>264</v>
      </c>
      <c r="D13" s="6" t="s">
        <v>402</v>
      </c>
      <c r="E13" s="6" t="s">
        <v>403</v>
      </c>
      <c r="F13" s="6" t="s">
        <v>390</v>
      </c>
      <c r="G13" s="13" t="n">
        <f aca="false">COUNTIFS(NBSAP_Commitments!$G$5:$G$1000,C13,NBSAP_Commitments!$B$5:$B$1000,Inputs!$B$6)</f>
        <v>5</v>
      </c>
      <c r="H13" s="14" t="n">
        <f aca="false">SUMIFS(NBSAP_Commitments!$J$5:$J$1000,NBSAP_Commitments!$G$5:$G$1000,C13,NBSAP_Commitments!$B$5:$B$1000,Inputs!$B$6)/1000000000</f>
        <v>20.36628</v>
      </c>
      <c r="I13" s="15" t="n">
        <f aca="false">IF(H13&lt;=0,0,PERCENTRANK($H$5:$H$19,H13))</f>
        <v>0.929</v>
      </c>
      <c r="J13" s="16" t="n">
        <f aca="false">IF(G13&gt;=Rubric!$B$22,5,IF(G13&gt;=Rubric!$B$23,4,IF(G13&gt;=Rubric!$B$24,3,IF(G13&gt;=Rubric!$B$25,2,1))))</f>
        <v>5</v>
      </c>
      <c r="K13" s="16" t="n">
        <f aca="false">IF(H13&lt;=0,1,IF(I13&gt;=Rubric!$B$29,5,IF(I13&gt;=Rubric!$B$30,4,IF(I13&gt;=Rubric!$B$31,3,IF(I13&gt;=Rubric!$B$32,2,1)))))</f>
        <v>5</v>
      </c>
      <c r="L13" s="8" t="str">
        <f aca="false">IFERROR(INDEX(NBSAP_Targets!$C:$C,MATCH(1,INDEX((NBSAP_Targets!$A$5:$A$500=Inputs!$B$6)*(NBSAP_Targets!$B$5:$B$500=C13),0),0)+4),"[to confirm]")</f>
        <v>[to confirm]</v>
      </c>
      <c r="M13" s="6" t="s">
        <v>404</v>
      </c>
    </row>
    <row r="14" customFormat="false" ht="35.05" hidden="false" customHeight="false" outlineLevel="0" collapsed="false">
      <c r="A14" s="6" t="s">
        <v>405</v>
      </c>
      <c r="B14" s="6" t="s">
        <v>406</v>
      </c>
      <c r="C14" s="6" t="s">
        <v>274</v>
      </c>
      <c r="D14" s="6" t="s">
        <v>407</v>
      </c>
      <c r="E14" s="6" t="s">
        <v>408</v>
      </c>
      <c r="F14" s="6" t="s">
        <v>409</v>
      </c>
      <c r="G14" s="13" t="n">
        <f aca="false">COUNTIFS(NBSAP_Commitments!$G$5:$G$1000,C14,NBSAP_Commitments!$B$5:$B$1000,Inputs!$B$6)</f>
        <v>6</v>
      </c>
      <c r="H14" s="14" t="n">
        <f aca="false">SUMIFS(NBSAP_Commitments!$J$5:$J$1000,NBSAP_Commitments!$G$5:$G$1000,C14,NBSAP_Commitments!$B$5:$B$1000,Inputs!$B$6)/1000000000</f>
        <v>27.05736</v>
      </c>
      <c r="I14" s="15" t="n">
        <f aca="false">IF(H14&lt;=0,0,PERCENTRANK($H$5:$H$19,H14))</f>
        <v>1</v>
      </c>
      <c r="J14" s="16" t="n">
        <f aca="false">IF(G14&gt;=Rubric!$B$22,5,IF(G14&gt;=Rubric!$B$23,4,IF(G14&gt;=Rubric!$B$24,3,IF(G14&gt;=Rubric!$B$25,2,1))))</f>
        <v>5</v>
      </c>
      <c r="K14" s="16" t="n">
        <f aca="false">IF(H14&lt;=0,1,IF(I14&gt;=Rubric!$B$29,5,IF(I14&gt;=Rubric!$B$30,4,IF(I14&gt;=Rubric!$B$31,3,IF(I14&gt;=Rubric!$B$32,2,1)))))</f>
        <v>5</v>
      </c>
      <c r="L14" s="8" t="str">
        <f aca="false">IFERROR(INDEX(NBSAP_Targets!$C:$C,MATCH(1,INDEX((NBSAP_Targets!$A$5:$A$500=Inputs!$B$6)*(NBSAP_Targets!$B$5:$B$500=C14),0),0)+4),"[to confirm]")</f>
        <v>[to confirm]</v>
      </c>
      <c r="M14" s="6" t="s">
        <v>410</v>
      </c>
    </row>
    <row r="15" customFormat="false" ht="46.25" hidden="false" customHeight="false" outlineLevel="0" collapsed="false">
      <c r="A15" s="6" t="s">
        <v>405</v>
      </c>
      <c r="B15" s="6" t="s">
        <v>406</v>
      </c>
      <c r="C15" s="6" t="s">
        <v>296</v>
      </c>
      <c r="D15" s="6" t="s">
        <v>411</v>
      </c>
      <c r="E15" s="6" t="s">
        <v>412</v>
      </c>
      <c r="F15" s="6" t="s">
        <v>409</v>
      </c>
      <c r="G15" s="13" t="n">
        <f aca="false">COUNTIFS(NBSAP_Commitments!$G$5:$G$1000,C15,NBSAP_Commitments!$B$5:$B$1000,Inputs!$B$6)</f>
        <v>0</v>
      </c>
      <c r="H15" s="14" t="n">
        <f aca="false">SUMIFS(NBSAP_Commitments!$J$5:$J$1000,NBSAP_Commitments!$G$5:$G$1000,C15,NBSAP_Commitments!$B$5:$B$1000,Inputs!$B$6)/1000000000</f>
        <v>0</v>
      </c>
      <c r="I15" s="15" t="n">
        <f aca="false">IF(H15&lt;=0,0,PERCENTRANK($H$5:$H$19,H15))</f>
        <v>0</v>
      </c>
      <c r="J15" s="16" t="n">
        <f aca="false">IF(G15&gt;=Rubric!$B$22,5,IF(G15&gt;=Rubric!$B$23,4,IF(G15&gt;=Rubric!$B$24,3,IF(G15&gt;=Rubric!$B$25,2,1))))</f>
        <v>1</v>
      </c>
      <c r="K15" s="16" t="n">
        <f aca="false">IF(H15&lt;=0,1,IF(I15&gt;=Rubric!$B$29,5,IF(I15&gt;=Rubric!$B$30,4,IF(I15&gt;=Rubric!$B$31,3,IF(I15&gt;=Rubric!$B$32,2,1)))))</f>
        <v>1</v>
      </c>
      <c r="L15" s="8" t="str">
        <f aca="false">IFERROR(INDEX(NBSAP_Targets!$C:$C,MATCH(1,INDEX((NBSAP_Targets!$A$5:$A$500=Inputs!$B$6)*(NBSAP_Targets!$B$5:$B$500=C15),0),0)+4),"[to confirm]")</f>
        <v>[to confirm]</v>
      </c>
      <c r="M15" s="6" t="s">
        <v>411</v>
      </c>
    </row>
    <row r="16" customFormat="false" ht="46.25" hidden="false" customHeight="false" outlineLevel="0" collapsed="false">
      <c r="A16" s="6" t="s">
        <v>405</v>
      </c>
      <c r="B16" s="6" t="s">
        <v>406</v>
      </c>
      <c r="C16" s="6" t="s">
        <v>312</v>
      </c>
      <c r="D16" s="6" t="s">
        <v>413</v>
      </c>
      <c r="E16" s="6" t="s">
        <v>414</v>
      </c>
      <c r="F16" s="6" t="s">
        <v>409</v>
      </c>
      <c r="G16" s="13" t="n">
        <f aca="false">COUNTIFS(NBSAP_Commitments!$G$5:$G$1000,C16,NBSAP_Commitments!$B$5:$B$1000,Inputs!$B$6)</f>
        <v>1</v>
      </c>
      <c r="H16" s="14" t="n">
        <f aca="false">SUMIFS(NBSAP_Commitments!$J$5:$J$1000,NBSAP_Commitments!$G$5:$G$1000,C16,NBSAP_Commitments!$B$5:$B$1000,Inputs!$B$6)/1000000000</f>
        <v>0.0198</v>
      </c>
      <c r="I16" s="15" t="n">
        <f aca="false">IF(H16&lt;=0,0,PERCENTRANK($H$5:$H$19,H16))</f>
        <v>0.214</v>
      </c>
      <c r="J16" s="16" t="n">
        <f aca="false">IF(G16&gt;=Rubric!$B$22,5,IF(G16&gt;=Rubric!$B$23,4,IF(G16&gt;=Rubric!$B$24,3,IF(G16&gt;=Rubric!$B$25,2,1))))</f>
        <v>2</v>
      </c>
      <c r="K16" s="16" t="n">
        <f aca="false">IF(H16&lt;=0,1,IF(I16&gt;=Rubric!$B$29,5,IF(I16&gt;=Rubric!$B$30,4,IF(I16&gt;=Rubric!$B$31,3,IF(I16&gt;=Rubric!$B$32,2,1)))))</f>
        <v>2</v>
      </c>
      <c r="L16" s="8" t="str">
        <f aca="false">IFERROR(INDEX(NBSAP_Targets!$C:$C,MATCH(1,INDEX((NBSAP_Targets!$A$5:$A$500=Inputs!$B$6)*(NBSAP_Targets!$B$5:$B$500=C16),0),0)+4),"[to confirm]")</f>
        <v>[to confirm]</v>
      </c>
      <c r="M16" s="6" t="s">
        <v>415</v>
      </c>
    </row>
    <row r="17" customFormat="false" ht="57.45" hidden="false" customHeight="false" outlineLevel="0" collapsed="false">
      <c r="A17" s="6" t="s">
        <v>416</v>
      </c>
      <c r="B17" s="6" t="s">
        <v>417</v>
      </c>
      <c r="C17" s="6" t="s">
        <v>322</v>
      </c>
      <c r="D17" s="6" t="s">
        <v>418</v>
      </c>
      <c r="E17" s="6" t="s">
        <v>419</v>
      </c>
      <c r="F17" s="6" t="s">
        <v>420</v>
      </c>
      <c r="G17" s="13" t="n">
        <f aca="false">COUNTIFS(NBSAP_Commitments!$G$5:$G$1000,C17,NBSAP_Commitments!$B$5:$B$1000,Inputs!$B$6)</f>
        <v>1</v>
      </c>
      <c r="H17" s="14" t="n">
        <f aca="false">SUMIFS(NBSAP_Commitments!$J$5:$J$1000,NBSAP_Commitments!$G$5:$G$1000,C17,NBSAP_Commitments!$B$5:$B$1000,Inputs!$B$6)/1000000000</f>
        <v>0.2904</v>
      </c>
      <c r="I17" s="15" t="n">
        <f aca="false">IF(H17&lt;=0,0,PERCENTRANK($H$5:$H$19,H17))</f>
        <v>0.357</v>
      </c>
      <c r="J17" s="16" t="n">
        <f aca="false">IF(G17&gt;=Rubric!$B$22,5,IF(G17&gt;=Rubric!$B$23,4,IF(G17&gt;=Rubric!$B$24,3,IF(G17&gt;=Rubric!$B$25,2,1))))</f>
        <v>2</v>
      </c>
      <c r="K17" s="16" t="n">
        <f aca="false">IF(H17&lt;=0,1,IF(I17&gt;=Rubric!$B$29,5,IF(I17&gt;=Rubric!$B$30,4,IF(I17&gt;=Rubric!$B$31,3,IF(I17&gt;=Rubric!$B$32,2,1)))))</f>
        <v>2</v>
      </c>
      <c r="L17" s="8" t="str">
        <f aca="false">IFERROR(INDEX(NBSAP_Targets!$C:$C,MATCH(1,INDEX((NBSAP_Targets!$A$5:$A$500=Inputs!$B$6)*(NBSAP_Targets!$B$5:$B$500=C17),0),0)+4),"[to confirm]")</f>
        <v>[to confirm]</v>
      </c>
      <c r="M17" s="6" t="s">
        <v>421</v>
      </c>
    </row>
    <row r="18" customFormat="false" ht="46.25" hidden="false" customHeight="false" outlineLevel="0" collapsed="false">
      <c r="A18" s="6" t="s">
        <v>416</v>
      </c>
      <c r="B18" s="6" t="s">
        <v>417</v>
      </c>
      <c r="C18" s="6" t="s">
        <v>329</v>
      </c>
      <c r="D18" s="6" t="s">
        <v>422</v>
      </c>
      <c r="E18" s="6" t="s">
        <v>423</v>
      </c>
      <c r="F18" s="6" t="s">
        <v>420</v>
      </c>
      <c r="G18" s="13" t="n">
        <f aca="false">COUNTIFS(NBSAP_Commitments!$G$5:$G$1000,C18,NBSAP_Commitments!$B$5:$B$1000,Inputs!$B$6)</f>
        <v>1</v>
      </c>
      <c r="H18" s="14" t="n">
        <f aca="false">SUMIFS(NBSAP_Commitments!$J$5:$J$1000,NBSAP_Commitments!$G$5:$G$1000,C18,NBSAP_Commitments!$B$5:$B$1000,Inputs!$B$6)/1000000000</f>
        <v>13.2</v>
      </c>
      <c r="I18" s="15" t="n">
        <f aca="false">IF(H18&lt;=0,0,PERCENTRANK($H$5:$H$19,H18))</f>
        <v>0.857</v>
      </c>
      <c r="J18" s="16" t="n">
        <f aca="false">IF(G18&gt;=Rubric!$B$22,5,IF(G18&gt;=Rubric!$B$23,4,IF(G18&gt;=Rubric!$B$24,3,IF(G18&gt;=Rubric!$B$25,2,1))))</f>
        <v>2</v>
      </c>
      <c r="K18" s="16" t="n">
        <f aca="false">IF(H18&lt;=0,1,IF(I18&gt;=Rubric!$B$29,5,IF(I18&gt;=Rubric!$B$30,4,IF(I18&gt;=Rubric!$B$31,3,IF(I18&gt;=Rubric!$B$32,2,1)))))</f>
        <v>5</v>
      </c>
      <c r="L18" s="8" t="str">
        <f aca="false">IFERROR(INDEX(NBSAP_Targets!$C:$C,MATCH(1,INDEX((NBSAP_Targets!$A$5:$A$500=Inputs!$B$6)*(NBSAP_Targets!$B$5:$B$500=C18),0),0)+4),"[to confirm]")</f>
        <v>[to confirm]</v>
      </c>
      <c r="M18" s="6" t="s">
        <v>424</v>
      </c>
    </row>
    <row r="19" customFormat="false" ht="46.25" hidden="false" customHeight="false" outlineLevel="0" collapsed="false">
      <c r="A19" s="6" t="s">
        <v>416</v>
      </c>
      <c r="B19" s="6" t="s">
        <v>417</v>
      </c>
      <c r="C19" s="6" t="s">
        <v>345</v>
      </c>
      <c r="D19" s="6" t="s">
        <v>425</v>
      </c>
      <c r="E19" s="6" t="s">
        <v>426</v>
      </c>
      <c r="F19" s="6" t="s">
        <v>427</v>
      </c>
      <c r="G19" s="13" t="n">
        <f aca="false">COUNTIFS(NBSAP_Commitments!$G$5:$G$1000,C19,NBSAP_Commitments!$B$5:$B$1000,Inputs!$B$6)</f>
        <v>2</v>
      </c>
      <c r="H19" s="14" t="n">
        <f aca="false">SUMIFS(NBSAP_Commitments!$J$5:$J$1000,NBSAP_Commitments!$G$5:$G$1000,C19,NBSAP_Commitments!$B$5:$B$1000,Inputs!$B$6)/1000000000</f>
        <v>0.78936</v>
      </c>
      <c r="I19" s="15" t="n">
        <f aca="false">IF(H19&lt;=0,0,PERCENTRANK($H$5:$H$19,H19))</f>
        <v>0.5</v>
      </c>
      <c r="J19" s="16" t="n">
        <f aca="false">IF(G19&gt;=Rubric!$B$22,5,IF(G19&gt;=Rubric!$B$23,4,IF(G19&gt;=Rubric!$B$24,3,IF(G19&gt;=Rubric!$B$25,2,1))))</f>
        <v>3</v>
      </c>
      <c r="K19" s="16" t="n">
        <f aca="false">IF(H19&lt;=0,1,IF(I19&gt;=Rubric!$B$29,5,IF(I19&gt;=Rubric!$B$30,4,IF(I19&gt;=Rubric!$B$31,3,IF(I19&gt;=Rubric!$B$32,2,1)))))</f>
        <v>3</v>
      </c>
      <c r="L19" s="8" t="str">
        <f aca="false">IFERROR(INDEX(NBSAP_Targets!$C:$C,MATCH(1,INDEX((NBSAP_Targets!$A$5:$A$500=Inputs!$B$6)*(NBSAP_Targets!$B$5:$B$500=C19),0),0)+4),"[to confirm]")</f>
        <v>[to confirm]</v>
      </c>
      <c r="M19" s="6" t="s">
        <v>428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9"/>
    <col collapsed="false" customWidth="true" hidden="false" outlineLevel="0" max="4" min="3" style="0" width="11"/>
    <col collapsed="false" customWidth="true" hidden="false" outlineLevel="0" max="5" min="5" style="0" width="60"/>
    <col collapsed="false" customWidth="true" hidden="false" outlineLevel="0" max="6" min="6" style="0" width="15"/>
    <col collapsed="false" customWidth="true" hidden="false" outlineLevel="0" max="7" min="7" style="0" width="13"/>
    <col collapsed="false" customWidth="true" hidden="false" outlineLevel="0" max="8" min="8" style="0" width="8"/>
    <col collapsed="false" customWidth="true" hidden="false" outlineLevel="0" max="9" min="9" style="0" width="11"/>
    <col collapsed="false" customWidth="true" hidden="false" outlineLevel="0" max="10" min="10" style="0" width="15"/>
    <col collapsed="false" customWidth="true" hidden="false" outlineLevel="0" max="11" min="11" style="0" width="22"/>
    <col collapsed="false" customWidth="true" hidden="false" outlineLevel="0" max="12" min="12" style="0" width="20"/>
    <col collapsed="false" customWidth="true" hidden="false" outlineLevel="0" max="13" min="13" style="0" width="40"/>
  </cols>
  <sheetData>
    <row r="1" customFormat="false" ht="17.35" hidden="false" customHeight="false" outlineLevel="0" collapsed="false">
      <c r="A1" s="1" t="s">
        <v>429</v>
      </c>
    </row>
    <row r="2" customFormat="false" ht="15" hidden="false" customHeight="false" outlineLevel="0" collapsed="false">
      <c r="A2" s="10" t="s">
        <v>430</v>
      </c>
    </row>
    <row r="4" customFormat="false" ht="35.05" hidden="false" customHeight="false" outlineLevel="0" collapsed="false">
      <c r="A4" s="4" t="s">
        <v>431</v>
      </c>
      <c r="B4" s="4" t="s">
        <v>20</v>
      </c>
      <c r="C4" s="4" t="s">
        <v>432</v>
      </c>
      <c r="D4" s="4" t="s">
        <v>115</v>
      </c>
      <c r="E4" s="4" t="s">
        <v>433</v>
      </c>
      <c r="F4" s="4" t="s">
        <v>434</v>
      </c>
      <c r="G4" s="4" t="s">
        <v>435</v>
      </c>
      <c r="H4" s="4" t="s">
        <v>102</v>
      </c>
      <c r="I4" s="4" t="s">
        <v>436</v>
      </c>
      <c r="J4" s="4" t="s">
        <v>437</v>
      </c>
      <c r="K4" s="4" t="s">
        <v>438</v>
      </c>
      <c r="L4" s="4" t="s">
        <v>439</v>
      </c>
      <c r="M4" s="4" t="s">
        <v>440</v>
      </c>
    </row>
    <row r="5" customFormat="false" ht="15" hidden="false" customHeight="false" outlineLevel="0" collapsed="false">
      <c r="A5" s="6" t="s">
        <v>441</v>
      </c>
      <c r="B5" s="6" t="s">
        <v>21</v>
      </c>
      <c r="C5" s="6" t="s">
        <v>274</v>
      </c>
      <c r="D5" s="6" t="s">
        <v>280</v>
      </c>
      <c r="E5" s="6" t="s">
        <v>442</v>
      </c>
      <c r="F5" s="17" t="n">
        <v>10000000000</v>
      </c>
      <c r="G5" s="8" t="str">
        <f aca="false">IFERROR(INDEX(Sub_Markets!$B$5:$B$77,MATCH(D5,Sub_Markets!$A$5:$A$77,0)),C5)</f>
        <v>DM01</v>
      </c>
      <c r="H5" s="6" t="s">
        <v>110</v>
      </c>
      <c r="I5" s="8" t="str">
        <f aca="false">IF(C5=G5,"Yes","No")</f>
        <v>Yes</v>
      </c>
      <c r="J5" s="17" t="n">
        <v>13200000000</v>
      </c>
      <c r="K5" s="6" t="s">
        <v>443</v>
      </c>
      <c r="L5" s="6" t="s">
        <v>444</v>
      </c>
      <c r="M5" s="6" t="s">
        <v>445</v>
      </c>
    </row>
    <row r="6" customFormat="false" ht="23.85" hidden="false" customHeight="false" outlineLevel="0" collapsed="false">
      <c r="A6" s="6" t="s">
        <v>446</v>
      </c>
      <c r="B6" s="6" t="s">
        <v>21</v>
      </c>
      <c r="C6" s="6" t="s">
        <v>121</v>
      </c>
      <c r="D6" s="6" t="s">
        <v>120</v>
      </c>
      <c r="E6" s="6" t="s">
        <v>447</v>
      </c>
      <c r="F6" s="17" t="n">
        <v>10000000</v>
      </c>
      <c r="G6" s="8" t="str">
        <f aca="false">IFERROR(INDEX(Sub_Markets!$B$5:$B$77,MATCH(D6,Sub_Markets!$A$5:$A$77,0)),C6)</f>
        <v>W01</v>
      </c>
      <c r="H6" s="6" t="s">
        <v>110</v>
      </c>
      <c r="I6" s="8" t="str">
        <f aca="false">IF(C6=G6,"Yes","No")</f>
        <v>Yes</v>
      </c>
      <c r="J6" s="17" t="n">
        <v>13200000</v>
      </c>
      <c r="K6" s="6" t="s">
        <v>448</v>
      </c>
      <c r="L6" s="6" t="s">
        <v>449</v>
      </c>
      <c r="M6" s="6" t="s">
        <v>450</v>
      </c>
    </row>
    <row r="7" customFormat="false" ht="23.85" hidden="false" customHeight="false" outlineLevel="0" collapsed="false">
      <c r="A7" s="6" t="s">
        <v>451</v>
      </c>
      <c r="B7" s="6" t="s">
        <v>21</v>
      </c>
      <c r="C7" s="6" t="s">
        <v>121</v>
      </c>
      <c r="D7" s="6" t="s">
        <v>125</v>
      </c>
      <c r="E7" s="6" t="s">
        <v>452</v>
      </c>
      <c r="F7" s="17" t="n">
        <v>100000000</v>
      </c>
      <c r="G7" s="8" t="str">
        <f aca="false">IFERROR(INDEX(Sub_Markets!$B$5:$B$77,MATCH(D7,Sub_Markets!$A$5:$A$77,0)),C7)</f>
        <v>W01</v>
      </c>
      <c r="H7" s="6" t="s">
        <v>110</v>
      </c>
      <c r="I7" s="8" t="str">
        <f aca="false">IF(C7=G7,"Yes","No")</f>
        <v>Yes</v>
      </c>
      <c r="J7" s="17" t="n">
        <v>132000000</v>
      </c>
      <c r="K7" s="6" t="s">
        <v>448</v>
      </c>
      <c r="L7" s="6" t="s">
        <v>453</v>
      </c>
      <c r="M7" s="6" t="s">
        <v>454</v>
      </c>
    </row>
    <row r="8" customFormat="false" ht="23.85" hidden="false" customHeight="false" outlineLevel="0" collapsed="false">
      <c r="A8" s="6" t="s">
        <v>455</v>
      </c>
      <c r="B8" s="6" t="s">
        <v>21</v>
      </c>
      <c r="C8" s="6" t="s">
        <v>141</v>
      </c>
      <c r="D8" s="6" t="s">
        <v>140</v>
      </c>
      <c r="E8" s="6" t="s">
        <v>456</v>
      </c>
      <c r="F8" s="17" t="n">
        <v>1000000</v>
      </c>
      <c r="G8" s="8" t="str">
        <f aca="false">IFERROR(INDEX(Sub_Markets!$B$5:$B$77,MATCH(D8,Sub_Markets!$A$5:$A$77,0)),C8)</f>
        <v>W02</v>
      </c>
      <c r="H8" s="6" t="s">
        <v>110</v>
      </c>
      <c r="I8" s="8" t="str">
        <f aca="false">IF(C8=G8,"Yes","No")</f>
        <v>Yes</v>
      </c>
      <c r="J8" s="17" t="n">
        <v>1320000</v>
      </c>
      <c r="K8" s="6" t="s">
        <v>448</v>
      </c>
      <c r="L8" s="6" t="s">
        <v>453</v>
      </c>
      <c r="M8" s="6" t="s">
        <v>445</v>
      </c>
    </row>
    <row r="9" customFormat="false" ht="15" hidden="false" customHeight="false" outlineLevel="0" collapsed="false">
      <c r="A9" s="6" t="s">
        <v>457</v>
      </c>
      <c r="B9" s="6" t="s">
        <v>21</v>
      </c>
      <c r="C9" s="6" t="s">
        <v>141</v>
      </c>
      <c r="D9" s="6" t="s">
        <v>158</v>
      </c>
      <c r="E9" s="6" t="s">
        <v>458</v>
      </c>
      <c r="F9" s="17" t="n">
        <v>2000000000</v>
      </c>
      <c r="G9" s="8" t="str">
        <f aca="false">IFERROR(INDEX(Sub_Markets!$B$5:$B$77,MATCH(D9,Sub_Markets!$A$5:$A$77,0)),C9)</f>
        <v>W02</v>
      </c>
      <c r="H9" s="6" t="s">
        <v>110</v>
      </c>
      <c r="I9" s="8" t="str">
        <f aca="false">IF(C9=G9,"Yes","No")</f>
        <v>Yes</v>
      </c>
      <c r="J9" s="17" t="n">
        <v>2640000000</v>
      </c>
      <c r="K9" s="6" t="s">
        <v>443</v>
      </c>
      <c r="L9" s="6" t="s">
        <v>444</v>
      </c>
      <c r="M9" s="6" t="s">
        <v>445</v>
      </c>
    </row>
    <row r="10" customFormat="false" ht="15" hidden="false" customHeight="false" outlineLevel="0" collapsed="false">
      <c r="A10" s="6" t="s">
        <v>459</v>
      </c>
      <c r="B10" s="6" t="s">
        <v>21</v>
      </c>
      <c r="C10" s="6" t="s">
        <v>162</v>
      </c>
      <c r="D10" s="6" t="s">
        <v>161</v>
      </c>
      <c r="E10" s="6" t="s">
        <v>460</v>
      </c>
      <c r="F10" s="17" t="n">
        <v>100000000</v>
      </c>
      <c r="G10" s="8" t="str">
        <f aca="false">IFERROR(INDEX(Sub_Markets!$B$5:$B$77,MATCH(D10,Sub_Markets!$A$5:$A$77,0)),C10)</f>
        <v>W03</v>
      </c>
      <c r="H10" s="6" t="s">
        <v>110</v>
      </c>
      <c r="I10" s="8" t="str">
        <f aca="false">IF(C10=G10,"Yes","No")</f>
        <v>Yes</v>
      </c>
      <c r="J10" s="17" t="n">
        <v>132000000</v>
      </c>
      <c r="K10" s="6" t="s">
        <v>448</v>
      </c>
      <c r="L10" s="6" t="s">
        <v>449</v>
      </c>
      <c r="M10" s="6" t="s">
        <v>445</v>
      </c>
    </row>
    <row r="11" customFormat="false" ht="35.05" hidden="false" customHeight="false" outlineLevel="0" collapsed="false">
      <c r="A11" s="6" t="s">
        <v>461</v>
      </c>
      <c r="B11" s="6" t="s">
        <v>21</v>
      </c>
      <c r="C11" s="6" t="s">
        <v>121</v>
      </c>
      <c r="D11" s="6" t="s">
        <v>120</v>
      </c>
      <c r="E11" s="6" t="s">
        <v>462</v>
      </c>
      <c r="F11" s="17" t="n">
        <v>30000000</v>
      </c>
      <c r="G11" s="8" t="str">
        <f aca="false">IFERROR(INDEX(Sub_Markets!$B$5:$B$77,MATCH(D11,Sub_Markets!$A$5:$A$77,0)),C11)</f>
        <v>W01</v>
      </c>
      <c r="H11" s="6" t="s">
        <v>110</v>
      </c>
      <c r="I11" s="8" t="str">
        <f aca="false">IF(C11=G11,"Yes","No")</f>
        <v>Yes</v>
      </c>
      <c r="J11" s="17" t="n">
        <v>39600000</v>
      </c>
      <c r="K11" s="6" t="s">
        <v>448</v>
      </c>
      <c r="L11" s="6" t="s">
        <v>449</v>
      </c>
      <c r="M11" s="6" t="s">
        <v>463</v>
      </c>
    </row>
    <row r="12" customFormat="false" ht="23.85" hidden="false" customHeight="false" outlineLevel="0" collapsed="false">
      <c r="A12" s="6" t="s">
        <v>464</v>
      </c>
      <c r="B12" s="6" t="s">
        <v>21</v>
      </c>
      <c r="C12" s="6" t="s">
        <v>141</v>
      </c>
      <c r="D12" s="6" t="s">
        <v>148</v>
      </c>
      <c r="E12" s="6" t="s">
        <v>465</v>
      </c>
      <c r="F12" s="17" t="n">
        <v>1600000000</v>
      </c>
      <c r="G12" s="8" t="str">
        <f aca="false">IFERROR(INDEX(Sub_Markets!$B$5:$B$77,MATCH(D12,Sub_Markets!$A$5:$A$77,0)),C12)</f>
        <v>W02</v>
      </c>
      <c r="H12" s="6" t="s">
        <v>110</v>
      </c>
      <c r="I12" s="8" t="str">
        <f aca="false">IF(C12=G12,"Yes","No")</f>
        <v>Yes</v>
      </c>
      <c r="J12" s="17" t="n">
        <v>2112000000</v>
      </c>
      <c r="K12" s="6" t="s">
        <v>443</v>
      </c>
      <c r="L12" s="6" t="s">
        <v>444</v>
      </c>
      <c r="M12" s="6" t="s">
        <v>466</v>
      </c>
    </row>
    <row r="13" customFormat="false" ht="23.85" hidden="false" customHeight="false" outlineLevel="0" collapsed="false">
      <c r="A13" s="6" t="s">
        <v>467</v>
      </c>
      <c r="B13" s="6" t="s">
        <v>21</v>
      </c>
      <c r="C13" s="6" t="s">
        <v>274</v>
      </c>
      <c r="D13" s="6" t="s">
        <v>280</v>
      </c>
      <c r="E13" s="6" t="s">
        <v>468</v>
      </c>
      <c r="F13" s="17" t="n">
        <v>2240000000</v>
      </c>
      <c r="G13" s="8" t="str">
        <f aca="false">IFERROR(INDEX(Sub_Markets!$B$5:$B$77,MATCH(D13,Sub_Markets!$A$5:$A$77,0)),C13)</f>
        <v>DM01</v>
      </c>
      <c r="H13" s="6" t="s">
        <v>110</v>
      </c>
      <c r="I13" s="8" t="str">
        <f aca="false">IF(C13=G13,"Yes","No")</f>
        <v>Yes</v>
      </c>
      <c r="J13" s="17" t="n">
        <v>2956800000</v>
      </c>
      <c r="K13" s="6" t="s">
        <v>443</v>
      </c>
      <c r="L13" s="6" t="s">
        <v>444</v>
      </c>
      <c r="M13" s="6" t="s">
        <v>466</v>
      </c>
    </row>
    <row r="14" customFormat="false" ht="23.85" hidden="false" customHeight="false" outlineLevel="0" collapsed="false">
      <c r="A14" s="6" t="s">
        <v>469</v>
      </c>
      <c r="B14" s="6" t="s">
        <v>21</v>
      </c>
      <c r="C14" s="6" t="s">
        <v>121</v>
      </c>
      <c r="D14" s="6" t="s">
        <v>120</v>
      </c>
      <c r="E14" s="6" t="s">
        <v>470</v>
      </c>
      <c r="F14" s="17" t="n">
        <v>34000000</v>
      </c>
      <c r="G14" s="8" t="str">
        <f aca="false">IFERROR(INDEX(Sub_Markets!$B$5:$B$77,MATCH(D14,Sub_Markets!$A$5:$A$77,0)),C14)</f>
        <v>W01</v>
      </c>
      <c r="H14" s="6" t="s">
        <v>110</v>
      </c>
      <c r="I14" s="8" t="str">
        <f aca="false">IF(C14=G14,"Yes","No")</f>
        <v>Yes</v>
      </c>
      <c r="J14" s="17" t="n">
        <v>44880000</v>
      </c>
      <c r="K14" s="6" t="s">
        <v>448</v>
      </c>
      <c r="L14" s="6" t="s">
        <v>449</v>
      </c>
      <c r="M14" s="6" t="s">
        <v>450</v>
      </c>
    </row>
    <row r="15" customFormat="false" ht="23.85" hidden="false" customHeight="false" outlineLevel="0" collapsed="false">
      <c r="A15" s="6" t="s">
        <v>471</v>
      </c>
      <c r="B15" s="6" t="s">
        <v>71</v>
      </c>
      <c r="C15" s="6" t="s">
        <v>216</v>
      </c>
      <c r="D15" s="6" t="s">
        <v>215</v>
      </c>
      <c r="E15" s="6" t="s">
        <v>472</v>
      </c>
      <c r="F15" s="17" t="n">
        <v>200842800</v>
      </c>
      <c r="G15" s="8" t="str">
        <f aca="false">IFERROR(INDEX(Sub_Markets!$B$5:$B$77,MATCH(D15,Sub_Markets!$A$5:$A$77,0)),C15)</f>
        <v>AFF03</v>
      </c>
      <c r="H15" s="6" t="s">
        <v>473</v>
      </c>
      <c r="I15" s="8" t="str">
        <f aca="false">IF(C15=G15,"Yes","No")</f>
        <v>Yes</v>
      </c>
      <c r="J15" s="17" t="n">
        <v>230969220</v>
      </c>
      <c r="K15" s="6" t="s">
        <v>448</v>
      </c>
      <c r="L15" s="6" t="s">
        <v>449</v>
      </c>
      <c r="M15" s="6" t="s">
        <v>474</v>
      </c>
    </row>
    <row r="16" customFormat="false" ht="23.85" hidden="false" customHeight="false" outlineLevel="0" collapsed="false">
      <c r="A16" s="6" t="s">
        <v>475</v>
      </c>
      <c r="B16" s="6" t="s">
        <v>71</v>
      </c>
      <c r="C16" s="6" t="s">
        <v>216</v>
      </c>
      <c r="D16" s="6" t="s">
        <v>219</v>
      </c>
      <c r="E16" s="6" t="s">
        <v>476</v>
      </c>
      <c r="F16" s="17" t="n">
        <v>193284200</v>
      </c>
      <c r="G16" s="8" t="str">
        <f aca="false">IFERROR(INDEX(Sub_Markets!$B$5:$B$77,MATCH(D16,Sub_Markets!$A$5:$A$77,0)),C16)</f>
        <v>AFF03</v>
      </c>
      <c r="H16" s="6" t="s">
        <v>473</v>
      </c>
      <c r="I16" s="8" t="str">
        <f aca="false">IF(C16=G16,"Yes","No")</f>
        <v>Yes</v>
      </c>
      <c r="J16" s="17" t="n">
        <v>222276830</v>
      </c>
      <c r="K16" s="6" t="s">
        <v>448</v>
      </c>
      <c r="L16" s="6" t="s">
        <v>449</v>
      </c>
      <c r="M16" s="6" t="s">
        <v>474</v>
      </c>
    </row>
    <row r="17" customFormat="false" ht="15" hidden="false" customHeight="false" outlineLevel="0" collapsed="false">
      <c r="A17" s="6" t="s">
        <v>477</v>
      </c>
      <c r="B17" s="6" t="s">
        <v>71</v>
      </c>
      <c r="C17" s="6" t="s">
        <v>216</v>
      </c>
      <c r="D17" s="6" t="s">
        <v>231</v>
      </c>
      <c r="E17" s="6" t="s">
        <v>478</v>
      </c>
      <c r="F17" s="17" t="n">
        <v>46431400</v>
      </c>
      <c r="G17" s="8" t="str">
        <f aca="false">IFERROR(INDEX(Sub_Markets!$B$5:$B$77,MATCH(D17,Sub_Markets!$A$5:$A$77,0)),C17)</f>
        <v>AFF03</v>
      </c>
      <c r="H17" s="6" t="s">
        <v>473</v>
      </c>
      <c r="I17" s="8" t="str">
        <f aca="false">IF(C17=G17,"Yes","No")</f>
        <v>Yes</v>
      </c>
      <c r="J17" s="17" t="n">
        <v>53396110</v>
      </c>
      <c r="K17" s="6" t="s">
        <v>448</v>
      </c>
      <c r="L17" s="6" t="s">
        <v>449</v>
      </c>
      <c r="M17" s="6" t="s">
        <v>474</v>
      </c>
    </row>
    <row r="18" customFormat="false" ht="15" hidden="false" customHeight="false" outlineLevel="0" collapsed="false">
      <c r="A18" s="6" t="s">
        <v>479</v>
      </c>
      <c r="B18" s="6" t="s">
        <v>71</v>
      </c>
      <c r="C18" s="6" t="s">
        <v>216</v>
      </c>
      <c r="D18" s="6" t="s">
        <v>231</v>
      </c>
      <c r="E18" s="6" t="s">
        <v>480</v>
      </c>
      <c r="F18" s="17" t="n">
        <v>7018700</v>
      </c>
      <c r="G18" s="8" t="str">
        <f aca="false">IFERROR(INDEX(Sub_Markets!$B$5:$B$77,MATCH(D18,Sub_Markets!$A$5:$A$77,0)),C18)</f>
        <v>AFF03</v>
      </c>
      <c r="H18" s="6" t="s">
        <v>473</v>
      </c>
      <c r="I18" s="8" t="str">
        <f aca="false">IF(C18=G18,"Yes","No")</f>
        <v>Yes</v>
      </c>
      <c r="J18" s="17" t="n">
        <v>8071505</v>
      </c>
      <c r="K18" s="6" t="s">
        <v>448</v>
      </c>
      <c r="L18" s="6" t="s">
        <v>449</v>
      </c>
      <c r="M18" s="6" t="s">
        <v>474</v>
      </c>
    </row>
    <row r="19" customFormat="false" ht="23.85" hidden="false" customHeight="false" outlineLevel="0" collapsed="false">
      <c r="A19" s="6" t="s">
        <v>481</v>
      </c>
      <c r="B19" s="6" t="s">
        <v>71</v>
      </c>
      <c r="C19" s="6" t="s">
        <v>216</v>
      </c>
      <c r="D19" s="6" t="s">
        <v>228</v>
      </c>
      <c r="E19" s="6" t="s">
        <v>482</v>
      </c>
      <c r="F19" s="17" t="n">
        <v>66947600</v>
      </c>
      <c r="G19" s="8" t="str">
        <f aca="false">IFERROR(INDEX(Sub_Markets!$B$5:$B$77,MATCH(D19,Sub_Markets!$A$5:$A$77,0)),C19)</f>
        <v>AFF03</v>
      </c>
      <c r="H19" s="6" t="s">
        <v>473</v>
      </c>
      <c r="I19" s="8" t="str">
        <f aca="false">IF(C19=G19,"Yes","No")</f>
        <v>Yes</v>
      </c>
      <c r="J19" s="17" t="n">
        <v>76989740</v>
      </c>
      <c r="K19" s="6" t="s">
        <v>448</v>
      </c>
      <c r="L19" s="6" t="s">
        <v>449</v>
      </c>
      <c r="M19" s="6" t="s">
        <v>474</v>
      </c>
    </row>
    <row r="20" customFormat="false" ht="35.05" hidden="false" customHeight="false" outlineLevel="0" collapsed="false">
      <c r="A20" s="6" t="s">
        <v>483</v>
      </c>
      <c r="B20" s="6" t="s">
        <v>75</v>
      </c>
      <c r="C20" s="6" t="s">
        <v>112</v>
      </c>
      <c r="D20" s="6" t="s">
        <v>194</v>
      </c>
      <c r="E20" s="6" t="s">
        <v>484</v>
      </c>
      <c r="F20" s="17" t="n">
        <v>3000000000</v>
      </c>
      <c r="G20" s="8" t="str">
        <f aca="false">IFERROR(INDEX(Sub_Markets!$B$5:$B$77,MATCH(D20,Sub_Markets!$A$5:$A$77,0)),C20)</f>
        <v>AFF02</v>
      </c>
      <c r="H20" s="6" t="s">
        <v>473</v>
      </c>
      <c r="I20" s="8" t="str">
        <f aca="false">IF(C20=G20,"Yes","No")</f>
        <v>Yes</v>
      </c>
      <c r="J20" s="17" t="n">
        <v>3450000000</v>
      </c>
      <c r="K20" s="6" t="s">
        <v>448</v>
      </c>
      <c r="L20" s="6" t="s">
        <v>449</v>
      </c>
      <c r="M20" s="6" t="s">
        <v>485</v>
      </c>
    </row>
    <row r="21" customFormat="false" ht="15" hidden="false" customHeight="false" outlineLevel="0" collapsed="false">
      <c r="A21" s="6" t="s">
        <v>486</v>
      </c>
      <c r="B21" s="6" t="s">
        <v>75</v>
      </c>
      <c r="C21" s="6" t="s">
        <v>112</v>
      </c>
      <c r="D21" s="6" t="s">
        <v>203</v>
      </c>
      <c r="E21" s="6" t="s">
        <v>487</v>
      </c>
      <c r="F21" s="17" t="n">
        <v>2000000000</v>
      </c>
      <c r="G21" s="8" t="str">
        <f aca="false">IFERROR(INDEX(Sub_Markets!$B$5:$B$77,MATCH(D21,Sub_Markets!$A$5:$A$77,0)),C21)</f>
        <v>AFF02</v>
      </c>
      <c r="H21" s="6" t="s">
        <v>473</v>
      </c>
      <c r="I21" s="8" t="str">
        <f aca="false">IF(C21=G21,"Yes","No")</f>
        <v>Yes</v>
      </c>
      <c r="J21" s="17" t="n">
        <v>2300000000</v>
      </c>
      <c r="K21" s="6" t="s">
        <v>448</v>
      </c>
      <c r="L21" s="6" t="s">
        <v>449</v>
      </c>
      <c r="M21" s="6" t="s">
        <v>485</v>
      </c>
    </row>
    <row r="22" customFormat="false" ht="23.85" hidden="false" customHeight="false" outlineLevel="0" collapsed="false">
      <c r="A22" s="6" t="s">
        <v>488</v>
      </c>
      <c r="B22" s="6" t="s">
        <v>75</v>
      </c>
      <c r="C22" s="6" t="s">
        <v>216</v>
      </c>
      <c r="D22" s="6" t="s">
        <v>215</v>
      </c>
      <c r="E22" s="6" t="s">
        <v>472</v>
      </c>
      <c r="F22" s="17" t="n">
        <v>491625600</v>
      </c>
      <c r="G22" s="8" t="str">
        <f aca="false">IFERROR(INDEX(Sub_Markets!$B$5:$B$77,MATCH(D22,Sub_Markets!$A$5:$A$77,0)),C22)</f>
        <v>AFF03</v>
      </c>
      <c r="H22" s="6" t="s">
        <v>473</v>
      </c>
      <c r="I22" s="8" t="str">
        <f aca="false">IF(C22=G22,"Yes","No")</f>
        <v>Yes</v>
      </c>
      <c r="J22" s="17" t="n">
        <v>565369440</v>
      </c>
      <c r="K22" s="6" t="s">
        <v>448</v>
      </c>
      <c r="L22" s="6" t="s">
        <v>449</v>
      </c>
      <c r="M22" s="6" t="s">
        <v>474</v>
      </c>
    </row>
    <row r="23" customFormat="false" ht="23.85" hidden="false" customHeight="false" outlineLevel="0" collapsed="false">
      <c r="A23" s="6" t="s">
        <v>489</v>
      </c>
      <c r="B23" s="6" t="s">
        <v>75</v>
      </c>
      <c r="C23" s="6" t="s">
        <v>216</v>
      </c>
      <c r="D23" s="6" t="s">
        <v>219</v>
      </c>
      <c r="E23" s="6" t="s">
        <v>476</v>
      </c>
      <c r="F23" s="17" t="n">
        <v>323801600</v>
      </c>
      <c r="G23" s="8" t="str">
        <f aca="false">IFERROR(INDEX(Sub_Markets!$B$5:$B$77,MATCH(D23,Sub_Markets!$A$5:$A$77,0)),C23)</f>
        <v>AFF03</v>
      </c>
      <c r="H23" s="6" t="s">
        <v>473</v>
      </c>
      <c r="I23" s="8" t="str">
        <f aca="false">IF(C23=G23,"Yes","No")</f>
        <v>Yes</v>
      </c>
      <c r="J23" s="17" t="n">
        <v>372371840</v>
      </c>
      <c r="K23" s="6" t="s">
        <v>448</v>
      </c>
      <c r="L23" s="6" t="s">
        <v>449</v>
      </c>
      <c r="M23" s="6" t="s">
        <v>474</v>
      </c>
    </row>
    <row r="24" customFormat="false" ht="15" hidden="false" customHeight="false" outlineLevel="0" collapsed="false">
      <c r="A24" s="6" t="s">
        <v>490</v>
      </c>
      <c r="B24" s="6" t="s">
        <v>75</v>
      </c>
      <c r="C24" s="6" t="s">
        <v>216</v>
      </c>
      <c r="D24" s="6" t="s">
        <v>231</v>
      </c>
      <c r="E24" s="6" t="s">
        <v>478</v>
      </c>
      <c r="F24" s="17" t="n">
        <v>98720000</v>
      </c>
      <c r="G24" s="8" t="str">
        <f aca="false">IFERROR(INDEX(Sub_Markets!$B$5:$B$77,MATCH(D24,Sub_Markets!$A$5:$A$77,0)),C24)</f>
        <v>AFF03</v>
      </c>
      <c r="H24" s="6" t="s">
        <v>473</v>
      </c>
      <c r="I24" s="8" t="str">
        <f aca="false">IF(C24=G24,"Yes","No")</f>
        <v>Yes</v>
      </c>
      <c r="J24" s="17" t="n">
        <v>113528000</v>
      </c>
      <c r="K24" s="6" t="s">
        <v>448</v>
      </c>
      <c r="L24" s="6" t="s">
        <v>449</v>
      </c>
      <c r="M24" s="6" t="s">
        <v>474</v>
      </c>
    </row>
    <row r="25" customFormat="false" ht="23.85" hidden="false" customHeight="false" outlineLevel="0" collapsed="false">
      <c r="A25" s="6" t="s">
        <v>491</v>
      </c>
      <c r="B25" s="6" t="s">
        <v>21</v>
      </c>
      <c r="C25" s="6" t="s">
        <v>162</v>
      </c>
      <c r="D25" s="6" t="s">
        <v>161</v>
      </c>
      <c r="E25" s="6" t="s">
        <v>492</v>
      </c>
      <c r="F25" s="17" t="n">
        <v>500000000</v>
      </c>
      <c r="G25" s="8" t="str">
        <f aca="false">IFERROR(INDEX(Sub_Markets!$B$5:$B$77,MATCH(D25,Sub_Markets!$A$5:$A$77,0)),C25)</f>
        <v>W03</v>
      </c>
      <c r="H25" s="6" t="s">
        <v>110</v>
      </c>
      <c r="I25" s="8" t="str">
        <f aca="false">IF(C25=G25,"Yes","No")</f>
        <v>Yes</v>
      </c>
      <c r="J25" s="17" t="n">
        <v>660000000</v>
      </c>
      <c r="K25" s="6" t="s">
        <v>493</v>
      </c>
      <c r="L25" s="6" t="s">
        <v>494</v>
      </c>
      <c r="M25" s="6" t="s">
        <v>466</v>
      </c>
    </row>
    <row r="26" customFormat="false" ht="15" hidden="false" customHeight="false" outlineLevel="0" collapsed="false">
      <c r="A26" s="6" t="s">
        <v>495</v>
      </c>
      <c r="B26" s="6" t="s">
        <v>75</v>
      </c>
      <c r="C26" s="6" t="s">
        <v>216</v>
      </c>
      <c r="D26" s="6" t="s">
        <v>231</v>
      </c>
      <c r="E26" s="6" t="s">
        <v>480</v>
      </c>
      <c r="F26" s="17" t="n">
        <v>13820800</v>
      </c>
      <c r="G26" s="8" t="str">
        <f aca="false">IFERROR(INDEX(Sub_Markets!$B$5:$B$77,MATCH(D26,Sub_Markets!$A$5:$A$77,0)),C26)</f>
        <v>AFF03</v>
      </c>
      <c r="H26" s="6" t="s">
        <v>473</v>
      </c>
      <c r="I26" s="8" t="str">
        <f aca="false">IF(C26=G26,"Yes","No")</f>
        <v>Yes</v>
      </c>
      <c r="J26" s="17" t="n">
        <v>15893920</v>
      </c>
      <c r="K26" s="6" t="s">
        <v>448</v>
      </c>
      <c r="L26" s="6" t="s">
        <v>449</v>
      </c>
      <c r="M26" s="6" t="s">
        <v>474</v>
      </c>
    </row>
    <row r="27" customFormat="false" ht="23.85" hidden="false" customHeight="false" outlineLevel="0" collapsed="false">
      <c r="A27" s="6" t="s">
        <v>496</v>
      </c>
      <c r="B27" s="6" t="s">
        <v>75</v>
      </c>
      <c r="C27" s="6" t="s">
        <v>112</v>
      </c>
      <c r="D27" s="6" t="s">
        <v>197</v>
      </c>
      <c r="E27" s="6" t="s">
        <v>497</v>
      </c>
      <c r="F27" s="17" t="n">
        <v>10000000000</v>
      </c>
      <c r="G27" s="8" t="str">
        <f aca="false">IFERROR(INDEX(Sub_Markets!$B$5:$B$77,MATCH(D27,Sub_Markets!$A$5:$A$77,0)),C27)</f>
        <v>AFF02</v>
      </c>
      <c r="H27" s="6" t="s">
        <v>473</v>
      </c>
      <c r="I27" s="8" t="str">
        <f aca="false">IF(C27=G27,"Yes","No")</f>
        <v>Yes</v>
      </c>
      <c r="J27" s="17" t="n">
        <v>11500000000</v>
      </c>
      <c r="K27" s="6" t="s">
        <v>448</v>
      </c>
      <c r="L27" s="6" t="s">
        <v>449</v>
      </c>
      <c r="M27" s="6" t="s">
        <v>485</v>
      </c>
    </row>
    <row r="28" customFormat="false" ht="23.85" hidden="false" customHeight="false" outlineLevel="0" collapsed="false">
      <c r="A28" s="6" t="s">
        <v>498</v>
      </c>
      <c r="B28" s="6" t="s">
        <v>75</v>
      </c>
      <c r="C28" s="6" t="s">
        <v>112</v>
      </c>
      <c r="D28" s="6" t="s">
        <v>194</v>
      </c>
      <c r="E28" s="6" t="s">
        <v>499</v>
      </c>
      <c r="F28" s="17" t="n">
        <v>647000000</v>
      </c>
      <c r="G28" s="8" t="str">
        <f aca="false">IFERROR(INDEX(Sub_Markets!$B$5:$B$77,MATCH(D28,Sub_Markets!$A$5:$A$77,0)),C28)</f>
        <v>AFF02</v>
      </c>
      <c r="H28" s="6" t="s">
        <v>473</v>
      </c>
      <c r="I28" s="8" t="str">
        <f aca="false">IF(C28=G28,"Yes","No")</f>
        <v>Yes</v>
      </c>
      <c r="J28" s="17" t="n">
        <v>744050000</v>
      </c>
      <c r="K28" s="6" t="s">
        <v>448</v>
      </c>
      <c r="L28" s="6" t="s">
        <v>449</v>
      </c>
      <c r="M28" s="6" t="s">
        <v>485</v>
      </c>
    </row>
    <row r="29" customFormat="false" ht="23.85" hidden="false" customHeight="false" outlineLevel="0" collapsed="false">
      <c r="A29" s="6" t="s">
        <v>500</v>
      </c>
      <c r="B29" s="6" t="s">
        <v>49</v>
      </c>
      <c r="C29" s="6" t="s">
        <v>112</v>
      </c>
      <c r="D29" s="6" t="s">
        <v>206</v>
      </c>
      <c r="E29" s="6" t="s">
        <v>501</v>
      </c>
      <c r="F29" s="17" t="n">
        <v>137000000</v>
      </c>
      <c r="G29" s="8" t="str">
        <f aca="false">IFERROR(INDEX(Sub_Markets!$B$5:$B$77,MATCH(D29,Sub_Markets!$A$5:$A$77,0)),C29)</f>
        <v>AFF02</v>
      </c>
      <c r="H29" s="6" t="s">
        <v>502</v>
      </c>
      <c r="I29" s="8" t="str">
        <f aca="false">IF(C29=G29,"Yes","No")</f>
        <v>Yes</v>
      </c>
      <c r="J29" s="17" t="n">
        <v>137000000</v>
      </c>
      <c r="K29" s="6" t="s">
        <v>503</v>
      </c>
      <c r="L29" s="6" t="s">
        <v>504</v>
      </c>
      <c r="M29" s="6" t="s">
        <v>505</v>
      </c>
    </row>
    <row r="30" customFormat="false" ht="15" hidden="false" customHeight="false" outlineLevel="0" collapsed="false">
      <c r="A30" s="6" t="s">
        <v>506</v>
      </c>
      <c r="B30" s="6" t="s">
        <v>57</v>
      </c>
      <c r="C30" s="6" t="s">
        <v>112</v>
      </c>
      <c r="D30" s="6" t="s">
        <v>206</v>
      </c>
      <c r="E30" s="6" t="s">
        <v>507</v>
      </c>
      <c r="F30" s="17" t="n">
        <v>257300000</v>
      </c>
      <c r="G30" s="8" t="str">
        <f aca="false">IFERROR(INDEX(Sub_Markets!$B$5:$B$77,MATCH(D30,Sub_Markets!$A$5:$A$77,0)),C30)</f>
        <v>AFF02</v>
      </c>
      <c r="H30" s="6" t="s">
        <v>502</v>
      </c>
      <c r="I30" s="8" t="str">
        <f aca="false">IF(C30=G30,"Yes","No")</f>
        <v>Yes</v>
      </c>
      <c r="J30" s="17" t="n">
        <v>257300000</v>
      </c>
      <c r="K30" s="6" t="s">
        <v>503</v>
      </c>
      <c r="L30" s="6" t="s">
        <v>504</v>
      </c>
      <c r="M30" s="6" t="s">
        <v>508</v>
      </c>
    </row>
    <row r="31" customFormat="false" ht="15" hidden="false" customHeight="false" outlineLevel="0" collapsed="false">
      <c r="A31" s="6" t="s">
        <v>509</v>
      </c>
      <c r="B31" s="6" t="s">
        <v>54</v>
      </c>
      <c r="C31" s="6" t="s">
        <v>175</v>
      </c>
      <c r="D31" s="6" t="s">
        <v>178</v>
      </c>
      <c r="E31" s="6" t="s">
        <v>510</v>
      </c>
      <c r="F31" s="17" t="n">
        <v>186000000</v>
      </c>
      <c r="G31" s="8" t="str">
        <f aca="false">IFERROR(INDEX(Sub_Markets!$B$5:$B$77,MATCH(D31,Sub_Markets!$A$5:$A$77,0)),C31)</f>
        <v>AFF01</v>
      </c>
      <c r="H31" s="6" t="s">
        <v>502</v>
      </c>
      <c r="I31" s="8" t="str">
        <f aca="false">IF(C31=G31,"Yes","No")</f>
        <v>Yes</v>
      </c>
      <c r="J31" s="17" t="n">
        <v>186000000</v>
      </c>
      <c r="K31" s="6" t="s">
        <v>503</v>
      </c>
      <c r="L31" s="6" t="s">
        <v>504</v>
      </c>
      <c r="M31" s="6" t="s">
        <v>511</v>
      </c>
    </row>
    <row r="32" customFormat="false" ht="23.85" hidden="false" customHeight="false" outlineLevel="0" collapsed="false">
      <c r="A32" s="6" t="s">
        <v>512</v>
      </c>
      <c r="B32" s="6" t="s">
        <v>54</v>
      </c>
      <c r="C32" s="6" t="s">
        <v>112</v>
      </c>
      <c r="D32" s="6" t="s">
        <v>206</v>
      </c>
      <c r="E32" s="6" t="s">
        <v>513</v>
      </c>
      <c r="F32" s="17" t="n">
        <v>9800000000</v>
      </c>
      <c r="G32" s="8" t="str">
        <f aca="false">IFERROR(INDEX(Sub_Markets!$B$5:$B$77,MATCH(D32,Sub_Markets!$A$5:$A$77,0)),C32)</f>
        <v>AFF02</v>
      </c>
      <c r="H32" s="6" t="s">
        <v>502</v>
      </c>
      <c r="I32" s="8" t="str">
        <f aca="false">IF(C32=G32,"Yes","No")</f>
        <v>Yes</v>
      </c>
      <c r="J32" s="17" t="n">
        <v>9800000000</v>
      </c>
      <c r="K32" s="6" t="s">
        <v>503</v>
      </c>
      <c r="L32" s="6" t="s">
        <v>504</v>
      </c>
      <c r="M32" s="6" t="s">
        <v>514</v>
      </c>
    </row>
    <row r="33" customFormat="false" ht="35.05" hidden="false" customHeight="false" outlineLevel="0" collapsed="false">
      <c r="A33" s="6" t="s">
        <v>515</v>
      </c>
      <c r="B33" s="6" t="s">
        <v>54</v>
      </c>
      <c r="C33" s="6" t="s">
        <v>216</v>
      </c>
      <c r="D33" s="6" t="s">
        <v>215</v>
      </c>
      <c r="E33" s="6" t="s">
        <v>516</v>
      </c>
      <c r="F33" s="17" t="n">
        <v>4000000000</v>
      </c>
      <c r="G33" s="8" t="str">
        <f aca="false">IFERROR(INDEX(Sub_Markets!$B$5:$B$77,MATCH(D33,Sub_Markets!$A$5:$A$77,0)),C33)</f>
        <v>AFF03</v>
      </c>
      <c r="H33" s="6" t="s">
        <v>502</v>
      </c>
      <c r="I33" s="8" t="str">
        <f aca="false">IF(C33=G33,"Yes","No")</f>
        <v>Yes</v>
      </c>
      <c r="J33" s="17" t="n">
        <v>4000000000</v>
      </c>
      <c r="K33" s="6" t="s">
        <v>503</v>
      </c>
      <c r="L33" s="6" t="s">
        <v>504</v>
      </c>
      <c r="M33" s="6" t="s">
        <v>517</v>
      </c>
    </row>
    <row r="34" customFormat="false" ht="35.05" hidden="false" customHeight="false" outlineLevel="0" collapsed="false">
      <c r="A34" s="6" t="s">
        <v>518</v>
      </c>
      <c r="B34" s="6" t="s">
        <v>21</v>
      </c>
      <c r="C34" s="6" t="s">
        <v>264</v>
      </c>
      <c r="D34" s="6" t="s">
        <v>270</v>
      </c>
      <c r="E34" s="6" t="s">
        <v>519</v>
      </c>
      <c r="F34" s="17" t="n">
        <v>110000000</v>
      </c>
      <c r="G34" s="8" t="str">
        <f aca="false">IFERROR(INDEX(Sub_Markets!$B$5:$B$77,MATCH(D34,Sub_Markets!$A$5:$A$77,0)),C34)</f>
        <v>UD03</v>
      </c>
      <c r="H34" s="6" t="s">
        <v>110</v>
      </c>
      <c r="I34" s="8" t="str">
        <f aca="false">IF(C34=G34,"Yes","No")</f>
        <v>Yes</v>
      </c>
      <c r="J34" s="17" t="n">
        <v>145200000</v>
      </c>
      <c r="K34" s="6" t="s">
        <v>448</v>
      </c>
      <c r="L34" s="6" t="s">
        <v>449</v>
      </c>
      <c r="M34" s="6" t="s">
        <v>445</v>
      </c>
    </row>
    <row r="35" customFormat="false" ht="23.85" hidden="false" customHeight="false" outlineLevel="0" collapsed="false">
      <c r="A35" s="6" t="s">
        <v>520</v>
      </c>
      <c r="B35" s="6" t="s">
        <v>21</v>
      </c>
      <c r="C35" s="6" t="s">
        <v>264</v>
      </c>
      <c r="D35" s="6" t="s">
        <v>267</v>
      </c>
      <c r="E35" s="6" t="s">
        <v>521</v>
      </c>
      <c r="F35" s="17" t="n">
        <v>616000000</v>
      </c>
      <c r="G35" s="8" t="str">
        <f aca="false">IFERROR(INDEX(Sub_Markets!$B$5:$B$77,MATCH(D35,Sub_Markets!$A$5:$A$77,0)),C35)</f>
        <v>UD03</v>
      </c>
      <c r="H35" s="6" t="s">
        <v>110</v>
      </c>
      <c r="I35" s="8" t="str">
        <f aca="false">IF(C35=G35,"Yes","No")</f>
        <v>Yes</v>
      </c>
      <c r="J35" s="17" t="n">
        <v>813120000</v>
      </c>
      <c r="K35" s="6" t="s">
        <v>448</v>
      </c>
      <c r="L35" s="6" t="s">
        <v>449</v>
      </c>
      <c r="M35" s="6" t="s">
        <v>445</v>
      </c>
    </row>
    <row r="36" customFormat="false" ht="35.05" hidden="false" customHeight="false" outlineLevel="0" collapsed="false">
      <c r="A36" s="6" t="s">
        <v>522</v>
      </c>
      <c r="B36" s="6" t="s">
        <v>21</v>
      </c>
      <c r="C36" s="6" t="s">
        <v>162</v>
      </c>
      <c r="D36" s="6" t="s">
        <v>161</v>
      </c>
      <c r="E36" s="6" t="s">
        <v>523</v>
      </c>
      <c r="F36" s="17" t="n">
        <v>1600000000</v>
      </c>
      <c r="G36" s="8" t="str">
        <f aca="false">IFERROR(INDEX(Sub_Markets!$B$5:$B$77,MATCH(D36,Sub_Markets!$A$5:$A$77,0)),C36)</f>
        <v>W03</v>
      </c>
      <c r="H36" s="6" t="s">
        <v>110</v>
      </c>
      <c r="I36" s="8" t="str">
        <f aca="false">IF(C36=G36,"Yes","No")</f>
        <v>Yes</v>
      </c>
      <c r="J36" s="17" t="n">
        <v>2112000000</v>
      </c>
      <c r="K36" s="6" t="s">
        <v>493</v>
      </c>
      <c r="L36" s="6" t="s">
        <v>494</v>
      </c>
      <c r="M36" s="6" t="s">
        <v>466</v>
      </c>
    </row>
    <row r="37" customFormat="false" ht="23.85" hidden="false" customHeight="false" outlineLevel="0" collapsed="false">
      <c r="A37" s="6" t="s">
        <v>524</v>
      </c>
      <c r="B37" s="6" t="s">
        <v>21</v>
      </c>
      <c r="C37" s="6" t="s">
        <v>264</v>
      </c>
      <c r="D37" s="6" t="s">
        <v>263</v>
      </c>
      <c r="E37" s="6" t="s">
        <v>525</v>
      </c>
      <c r="F37" s="17" t="n">
        <v>4200000000</v>
      </c>
      <c r="G37" s="8" t="str">
        <f aca="false">IFERROR(INDEX(Sub_Markets!$B$5:$B$77,MATCH(D37,Sub_Markets!$A$5:$A$77,0)),C37)</f>
        <v>UD03</v>
      </c>
      <c r="H37" s="6" t="s">
        <v>110</v>
      </c>
      <c r="I37" s="8" t="str">
        <f aca="false">IF(C37=G37,"Yes","No")</f>
        <v>Yes</v>
      </c>
      <c r="J37" s="17" t="n">
        <v>5544000000</v>
      </c>
      <c r="K37" s="6" t="s">
        <v>443</v>
      </c>
      <c r="L37" s="6" t="s">
        <v>494</v>
      </c>
      <c r="M37" s="6" t="s">
        <v>445</v>
      </c>
    </row>
    <row r="38" customFormat="false" ht="23.85" hidden="false" customHeight="false" outlineLevel="0" collapsed="false">
      <c r="A38" s="6" t="s">
        <v>526</v>
      </c>
      <c r="B38" s="6" t="s">
        <v>21</v>
      </c>
      <c r="C38" s="6" t="s">
        <v>264</v>
      </c>
      <c r="D38" s="6" t="s">
        <v>263</v>
      </c>
      <c r="E38" s="6" t="s">
        <v>527</v>
      </c>
      <c r="F38" s="17" t="n">
        <v>10500000000</v>
      </c>
      <c r="G38" s="8" t="str">
        <f aca="false">IFERROR(INDEX(Sub_Markets!$B$5:$B$77,MATCH(D38,Sub_Markets!$A$5:$A$77,0)),C38)</f>
        <v>UD03</v>
      </c>
      <c r="H38" s="6" t="s">
        <v>110</v>
      </c>
      <c r="I38" s="8" t="str">
        <f aca="false">IF(C38=G38,"Yes","No")</f>
        <v>Yes</v>
      </c>
      <c r="J38" s="17" t="n">
        <v>13860000000</v>
      </c>
      <c r="K38" s="6" t="s">
        <v>443</v>
      </c>
      <c r="L38" s="6" t="s">
        <v>494</v>
      </c>
      <c r="M38" s="6" t="s">
        <v>445</v>
      </c>
    </row>
    <row r="39" customFormat="false" ht="23.85" hidden="false" customHeight="false" outlineLevel="0" collapsed="false">
      <c r="A39" s="6" t="s">
        <v>528</v>
      </c>
      <c r="B39" s="6" t="s">
        <v>21</v>
      </c>
      <c r="C39" s="6" t="s">
        <v>264</v>
      </c>
      <c r="D39" s="6" t="s">
        <v>267</v>
      </c>
      <c r="E39" s="6" t="s">
        <v>529</v>
      </c>
      <c r="F39" s="17" t="n">
        <v>3000000</v>
      </c>
      <c r="G39" s="8" t="str">
        <f aca="false">IFERROR(INDEX(Sub_Markets!$B$5:$B$77,MATCH(D39,Sub_Markets!$A$5:$A$77,0)),C39)</f>
        <v>UD03</v>
      </c>
      <c r="H39" s="6" t="s">
        <v>110</v>
      </c>
      <c r="I39" s="8" t="str">
        <f aca="false">IF(C39=G39,"Yes","No")</f>
        <v>Yes</v>
      </c>
      <c r="J39" s="17" t="n">
        <v>3960000</v>
      </c>
      <c r="K39" s="6" t="s">
        <v>448</v>
      </c>
      <c r="L39" s="6" t="s">
        <v>449</v>
      </c>
      <c r="M39" s="6" t="s">
        <v>445</v>
      </c>
    </row>
    <row r="40" customFormat="false" ht="35.05" hidden="false" customHeight="false" outlineLevel="0" collapsed="false">
      <c r="A40" s="6" t="s">
        <v>530</v>
      </c>
      <c r="B40" s="6" t="s">
        <v>21</v>
      </c>
      <c r="C40" s="6" t="s">
        <v>251</v>
      </c>
      <c r="D40" s="6" t="s">
        <v>241</v>
      </c>
      <c r="E40" s="6" t="s">
        <v>531</v>
      </c>
      <c r="F40" s="17" t="n">
        <v>12000000</v>
      </c>
      <c r="G40" s="8" t="str">
        <f aca="false">IFERROR(INDEX(Sub_Markets!$B$5:$B$77,MATCH(D40,Sub_Markets!$A$5:$A$77,0)),C40)</f>
        <v>UD01</v>
      </c>
      <c r="H40" s="6" t="s">
        <v>110</v>
      </c>
      <c r="I40" s="8" t="str">
        <f aca="false">IF(C40=G40,"Yes","No")</f>
        <v>No</v>
      </c>
      <c r="J40" s="17" t="n">
        <v>15840000</v>
      </c>
      <c r="K40" s="6" t="s">
        <v>448</v>
      </c>
      <c r="L40" s="6" t="s">
        <v>449</v>
      </c>
      <c r="M40" s="6" t="s">
        <v>532</v>
      </c>
    </row>
    <row r="41" customFormat="false" ht="57.45" hidden="false" customHeight="false" outlineLevel="0" collapsed="false">
      <c r="A41" s="6" t="s">
        <v>533</v>
      </c>
      <c r="B41" s="6" t="s">
        <v>45</v>
      </c>
      <c r="C41" s="6" t="s">
        <v>264</v>
      </c>
      <c r="D41" s="6" t="s">
        <v>270</v>
      </c>
      <c r="E41" s="6" t="s">
        <v>534</v>
      </c>
      <c r="F41" s="17" t="n">
        <v>1655000000</v>
      </c>
      <c r="G41" s="8" t="str">
        <f aca="false">IFERROR(INDEX(Sub_Markets!$B$5:$B$77,MATCH(D41,Sub_Markets!$A$5:$A$77,0)),C41)</f>
        <v>UD03</v>
      </c>
      <c r="H41" s="6" t="s">
        <v>535</v>
      </c>
      <c r="I41" s="8" t="str">
        <f aca="false">IF(C41=G41,"Yes","No")</f>
        <v>Yes</v>
      </c>
      <c r="J41" s="17" t="n">
        <v>1191600000</v>
      </c>
      <c r="K41" s="6" t="s">
        <v>448</v>
      </c>
      <c r="L41" s="6" t="s">
        <v>449</v>
      </c>
      <c r="M41" s="6" t="s">
        <v>536</v>
      </c>
    </row>
    <row r="42" customFormat="false" ht="35.05" hidden="false" customHeight="false" outlineLevel="0" collapsed="false">
      <c r="A42" s="6" t="s">
        <v>537</v>
      </c>
      <c r="B42" s="6" t="s">
        <v>45</v>
      </c>
      <c r="C42" s="6" t="s">
        <v>251</v>
      </c>
      <c r="D42" s="6" t="s">
        <v>260</v>
      </c>
      <c r="E42" s="6" t="s">
        <v>538</v>
      </c>
      <c r="F42" s="17" t="n">
        <v>26900000000</v>
      </c>
      <c r="G42" s="8" t="str">
        <f aca="false">IFERROR(INDEX(Sub_Markets!$B$5:$B$77,MATCH(D42,Sub_Markets!$A$5:$A$77,0)),C42)</f>
        <v>UD02</v>
      </c>
      <c r="H42" s="6" t="s">
        <v>535</v>
      </c>
      <c r="I42" s="8" t="str">
        <f aca="false">IF(C42=G42,"Yes","No")</f>
        <v>Yes</v>
      </c>
      <c r="J42" s="17" t="n">
        <v>19368000000</v>
      </c>
      <c r="K42" s="6" t="s">
        <v>493</v>
      </c>
      <c r="L42" s="6" t="s">
        <v>494</v>
      </c>
      <c r="M42" s="6" t="s">
        <v>539</v>
      </c>
    </row>
    <row r="43" customFormat="false" ht="46.25" hidden="false" customHeight="false" outlineLevel="0" collapsed="false">
      <c r="A43" s="6" t="s">
        <v>540</v>
      </c>
      <c r="B43" s="6" t="s">
        <v>45</v>
      </c>
      <c r="C43" s="6" t="s">
        <v>296</v>
      </c>
      <c r="D43" s="6" t="s">
        <v>305</v>
      </c>
      <c r="E43" s="6" t="s">
        <v>541</v>
      </c>
      <c r="F43" s="17" t="n">
        <v>164000000</v>
      </c>
      <c r="G43" s="8" t="str">
        <f aca="false">IFERROR(INDEX(Sub_Markets!$B$5:$B$77,MATCH(D43,Sub_Markets!$A$5:$A$77,0)),C43)</f>
        <v>DM02</v>
      </c>
      <c r="H43" s="6" t="s">
        <v>535</v>
      </c>
      <c r="I43" s="8" t="str">
        <f aca="false">IF(C43=G43,"Yes","No")</f>
        <v>Yes</v>
      </c>
      <c r="J43" s="17" t="n">
        <v>118080000</v>
      </c>
      <c r="K43" s="6" t="s">
        <v>448</v>
      </c>
      <c r="L43" s="6" t="s">
        <v>449</v>
      </c>
      <c r="M43" s="6" t="s">
        <v>542</v>
      </c>
    </row>
    <row r="44" customFormat="false" ht="35.05" hidden="false" customHeight="false" outlineLevel="0" collapsed="false">
      <c r="A44" s="6" t="s">
        <v>543</v>
      </c>
      <c r="B44" s="6" t="s">
        <v>45</v>
      </c>
      <c r="C44" s="6" t="s">
        <v>238</v>
      </c>
      <c r="D44" s="6" t="s">
        <v>241</v>
      </c>
      <c r="E44" s="6" t="s">
        <v>544</v>
      </c>
      <c r="F44" s="17" t="n">
        <v>200000000</v>
      </c>
      <c r="G44" s="8" t="str">
        <f aca="false">IFERROR(INDEX(Sub_Markets!$B$5:$B$77,MATCH(D44,Sub_Markets!$A$5:$A$77,0)),C44)</f>
        <v>UD01</v>
      </c>
      <c r="H44" s="6" t="s">
        <v>535</v>
      </c>
      <c r="I44" s="8" t="str">
        <f aca="false">IF(C44=G44,"Yes","No")</f>
        <v>Yes</v>
      </c>
      <c r="J44" s="17" t="n">
        <v>144000000</v>
      </c>
      <c r="K44" s="6" t="s">
        <v>448</v>
      </c>
      <c r="L44" s="6" t="s">
        <v>449</v>
      </c>
      <c r="M44" s="6" t="s">
        <v>545</v>
      </c>
    </row>
    <row r="45" customFormat="false" ht="23.85" hidden="false" customHeight="false" outlineLevel="0" collapsed="false">
      <c r="A45" s="6" t="s">
        <v>546</v>
      </c>
      <c r="B45" s="6" t="s">
        <v>60</v>
      </c>
      <c r="C45" s="6" t="s">
        <v>264</v>
      </c>
      <c r="D45" s="6" t="s">
        <v>267</v>
      </c>
      <c r="E45" s="6" t="s">
        <v>547</v>
      </c>
      <c r="F45" s="17" t="n">
        <v>142000000</v>
      </c>
      <c r="G45" s="8" t="str">
        <f aca="false">IFERROR(INDEX(Sub_Markets!$B$5:$B$77,MATCH(D45,Sub_Markets!$A$5:$A$77,0)),C45)</f>
        <v>UD03</v>
      </c>
      <c r="H45" s="6" t="s">
        <v>473</v>
      </c>
      <c r="I45" s="8" t="str">
        <f aca="false">IF(C45=G45,"Yes","No")</f>
        <v>Yes</v>
      </c>
      <c r="J45" s="17" t="n">
        <v>163300000</v>
      </c>
      <c r="K45" s="6" t="s">
        <v>448</v>
      </c>
      <c r="L45" s="6" t="s">
        <v>449</v>
      </c>
      <c r="M45" s="6" t="s">
        <v>445</v>
      </c>
    </row>
    <row r="46" customFormat="false" ht="35.05" hidden="false" customHeight="false" outlineLevel="0" collapsed="false">
      <c r="A46" s="6" t="s">
        <v>548</v>
      </c>
      <c r="B46" s="6" t="s">
        <v>60</v>
      </c>
      <c r="C46" s="6" t="s">
        <v>264</v>
      </c>
      <c r="D46" s="6" t="s">
        <v>270</v>
      </c>
      <c r="E46" s="6" t="s">
        <v>549</v>
      </c>
      <c r="F46" s="17" t="n">
        <v>100000000</v>
      </c>
      <c r="G46" s="8" t="str">
        <f aca="false">IFERROR(INDEX(Sub_Markets!$B$5:$B$77,MATCH(D46,Sub_Markets!$A$5:$A$77,0)),C46)</f>
        <v>UD03</v>
      </c>
      <c r="H46" s="6" t="s">
        <v>473</v>
      </c>
      <c r="I46" s="8" t="str">
        <f aca="false">IF(C46=G46,"Yes","No")</f>
        <v>Yes</v>
      </c>
      <c r="J46" s="17" t="n">
        <v>115000000</v>
      </c>
      <c r="K46" s="6" t="s">
        <v>448</v>
      </c>
      <c r="L46" s="6" t="s">
        <v>449</v>
      </c>
      <c r="M46" s="6" t="s">
        <v>445</v>
      </c>
    </row>
    <row r="47" customFormat="false" ht="23.85" hidden="false" customHeight="false" outlineLevel="0" collapsed="false">
      <c r="A47" s="6" t="s">
        <v>550</v>
      </c>
      <c r="B47" s="6" t="s">
        <v>21</v>
      </c>
      <c r="C47" s="6" t="s">
        <v>162</v>
      </c>
      <c r="D47" s="6" t="s">
        <v>158</v>
      </c>
      <c r="E47" s="6" t="s">
        <v>551</v>
      </c>
      <c r="F47" s="17" t="n">
        <v>30000000</v>
      </c>
      <c r="G47" s="8" t="str">
        <f aca="false">IFERROR(INDEX(Sub_Markets!$B$5:$B$77,MATCH(D47,Sub_Markets!$A$5:$A$77,0)),C47)</f>
        <v>W02</v>
      </c>
      <c r="H47" s="6" t="s">
        <v>110</v>
      </c>
      <c r="I47" s="8" t="str">
        <f aca="false">IF(C47=G47,"Yes","No")</f>
        <v>No</v>
      </c>
      <c r="J47" s="17" t="n">
        <v>39600000</v>
      </c>
      <c r="K47" s="6" t="s">
        <v>448</v>
      </c>
      <c r="L47" s="6" t="s">
        <v>449</v>
      </c>
      <c r="M47" s="6" t="s">
        <v>466</v>
      </c>
    </row>
    <row r="48" customFormat="false" ht="23.85" hidden="false" customHeight="false" outlineLevel="0" collapsed="false">
      <c r="A48" s="6" t="s">
        <v>552</v>
      </c>
      <c r="B48" s="6" t="s">
        <v>45</v>
      </c>
      <c r="C48" s="6" t="s">
        <v>251</v>
      </c>
      <c r="D48" s="6" t="s">
        <v>250</v>
      </c>
      <c r="E48" s="6" t="s">
        <v>553</v>
      </c>
      <c r="F48" s="17" t="n">
        <v>60600000</v>
      </c>
      <c r="G48" s="8" t="str">
        <f aca="false">IFERROR(INDEX(Sub_Markets!$B$5:$B$77,MATCH(D48,Sub_Markets!$A$5:$A$77,0)),C48)</f>
        <v>UD02</v>
      </c>
      <c r="H48" s="6" t="s">
        <v>535</v>
      </c>
      <c r="I48" s="8" t="str">
        <f aca="false">IF(C48=G48,"Yes","No")</f>
        <v>Yes</v>
      </c>
      <c r="J48" s="17" t="n">
        <v>43632000</v>
      </c>
      <c r="K48" s="6" t="s">
        <v>448</v>
      </c>
      <c r="L48" s="6" t="s">
        <v>449</v>
      </c>
      <c r="M48" s="6" t="s">
        <v>542</v>
      </c>
    </row>
    <row r="49" customFormat="false" ht="15" hidden="false" customHeight="false" outlineLevel="0" collapsed="false">
      <c r="A49" s="6" t="s">
        <v>554</v>
      </c>
      <c r="B49" s="6" t="s">
        <v>45</v>
      </c>
      <c r="C49" s="6" t="s">
        <v>251</v>
      </c>
      <c r="D49" s="6" t="s">
        <v>260</v>
      </c>
      <c r="E49" s="6" t="s">
        <v>555</v>
      </c>
      <c r="F49" s="17" t="n">
        <v>5000000000</v>
      </c>
      <c r="G49" s="8" t="str">
        <f aca="false">IFERROR(INDEX(Sub_Markets!$B$5:$B$77,MATCH(D49,Sub_Markets!$A$5:$A$77,0)),C49)</f>
        <v>UD02</v>
      </c>
      <c r="H49" s="6" t="s">
        <v>535</v>
      </c>
      <c r="I49" s="8" t="str">
        <f aca="false">IF(C49=G49,"Yes","No")</f>
        <v>Yes</v>
      </c>
      <c r="J49" s="17" t="n">
        <v>3600000000</v>
      </c>
      <c r="K49" s="6" t="s">
        <v>448</v>
      </c>
      <c r="L49" s="6" t="s">
        <v>449</v>
      </c>
      <c r="M49" s="6" t="s">
        <v>556</v>
      </c>
    </row>
    <row r="50" customFormat="false" ht="35.05" hidden="false" customHeight="false" outlineLevel="0" collapsed="false">
      <c r="A50" s="6" t="s">
        <v>557</v>
      </c>
      <c r="B50" s="6" t="s">
        <v>63</v>
      </c>
      <c r="C50" s="6" t="s">
        <v>251</v>
      </c>
      <c r="D50" s="6" t="s">
        <v>260</v>
      </c>
      <c r="E50" s="6" t="s">
        <v>558</v>
      </c>
      <c r="F50" s="17" t="n">
        <v>233300000</v>
      </c>
      <c r="G50" s="8" t="str">
        <f aca="false">IFERROR(INDEX(Sub_Markets!$B$5:$B$77,MATCH(D50,Sub_Markets!$A$5:$A$77,0)),C50)</f>
        <v>UD02</v>
      </c>
      <c r="H50" s="6" t="s">
        <v>473</v>
      </c>
      <c r="I50" s="8" t="str">
        <f aca="false">IF(C50=G50,"Yes","No")</f>
        <v>Yes</v>
      </c>
      <c r="J50" s="17" t="n">
        <v>268295000</v>
      </c>
      <c r="K50" s="6" t="s">
        <v>448</v>
      </c>
      <c r="L50" s="6" t="s">
        <v>449</v>
      </c>
      <c r="M50" s="6" t="s">
        <v>559</v>
      </c>
    </row>
    <row r="51" customFormat="false" ht="23.85" hidden="false" customHeight="false" outlineLevel="0" collapsed="false">
      <c r="A51" s="6" t="s">
        <v>560</v>
      </c>
      <c r="B51" s="6" t="s">
        <v>68</v>
      </c>
      <c r="C51" s="6" t="s">
        <v>264</v>
      </c>
      <c r="D51" s="6" t="s">
        <v>267</v>
      </c>
      <c r="E51" s="6" t="s">
        <v>561</v>
      </c>
      <c r="F51" s="17" t="n">
        <v>3000000</v>
      </c>
      <c r="G51" s="8" t="str">
        <f aca="false">IFERROR(INDEX(Sub_Markets!$B$5:$B$77,MATCH(D51,Sub_Markets!$A$5:$A$77,0)),C51)</f>
        <v>UD03</v>
      </c>
      <c r="H51" s="6" t="s">
        <v>473</v>
      </c>
      <c r="I51" s="8" t="str">
        <f aca="false">IF(C51=G51,"Yes","No")</f>
        <v>Yes</v>
      </c>
      <c r="J51" s="17" t="n">
        <v>3450000</v>
      </c>
      <c r="K51" s="6" t="s">
        <v>448</v>
      </c>
      <c r="L51" s="6" t="s">
        <v>449</v>
      </c>
      <c r="M51" s="6" t="s">
        <v>445</v>
      </c>
    </row>
    <row r="52" customFormat="false" ht="35.05" hidden="false" customHeight="false" outlineLevel="0" collapsed="false">
      <c r="A52" s="6" t="s">
        <v>562</v>
      </c>
      <c r="B52" s="6" t="s">
        <v>68</v>
      </c>
      <c r="C52" s="6" t="s">
        <v>238</v>
      </c>
      <c r="D52" s="6" t="s">
        <v>237</v>
      </c>
      <c r="E52" s="6" t="s">
        <v>563</v>
      </c>
      <c r="F52" s="17" t="n">
        <v>10000000</v>
      </c>
      <c r="G52" s="8" t="str">
        <f aca="false">IFERROR(INDEX(Sub_Markets!$B$5:$B$77,MATCH(D52,Sub_Markets!$A$5:$A$77,0)),C52)</f>
        <v>UD01</v>
      </c>
      <c r="H52" s="6" t="s">
        <v>473</v>
      </c>
      <c r="I52" s="8" t="str">
        <f aca="false">IF(C52=G52,"Yes","No")</f>
        <v>Yes</v>
      </c>
      <c r="J52" s="17" t="n">
        <v>11500000</v>
      </c>
      <c r="K52" s="6" t="s">
        <v>448</v>
      </c>
      <c r="L52" s="6" t="s">
        <v>449</v>
      </c>
      <c r="M52" s="6" t="s">
        <v>445</v>
      </c>
    </row>
    <row r="53" customFormat="false" ht="23.85" hidden="false" customHeight="false" outlineLevel="0" collapsed="false">
      <c r="A53" s="6" t="s">
        <v>564</v>
      </c>
      <c r="B53" s="6" t="s">
        <v>71</v>
      </c>
      <c r="C53" s="6" t="s">
        <v>251</v>
      </c>
      <c r="D53" s="6" t="s">
        <v>260</v>
      </c>
      <c r="E53" s="6" t="s">
        <v>565</v>
      </c>
      <c r="F53" s="17" t="n">
        <v>209000000</v>
      </c>
      <c r="G53" s="8" t="str">
        <f aca="false">IFERROR(INDEX(Sub_Markets!$B$5:$B$77,MATCH(D53,Sub_Markets!$A$5:$A$77,0)),C53)</f>
        <v>UD02</v>
      </c>
      <c r="H53" s="6" t="s">
        <v>473</v>
      </c>
      <c r="I53" s="8" t="str">
        <f aca="false">IF(C53=G53,"Yes","No")</f>
        <v>Yes</v>
      </c>
      <c r="J53" s="17" t="n">
        <v>240350000</v>
      </c>
      <c r="K53" s="6" t="s">
        <v>493</v>
      </c>
      <c r="L53" s="6" t="s">
        <v>494</v>
      </c>
      <c r="M53" s="6" t="s">
        <v>566</v>
      </c>
    </row>
    <row r="54" customFormat="false" ht="23.85" hidden="false" customHeight="false" outlineLevel="0" collapsed="false">
      <c r="A54" s="6" t="s">
        <v>567</v>
      </c>
      <c r="B54" s="6" t="s">
        <v>75</v>
      </c>
      <c r="C54" s="6" t="s">
        <v>238</v>
      </c>
      <c r="D54" s="6" t="s">
        <v>237</v>
      </c>
      <c r="E54" s="6" t="s">
        <v>568</v>
      </c>
      <c r="F54" s="17" t="n">
        <v>411700000</v>
      </c>
      <c r="G54" s="8" t="str">
        <f aca="false">IFERROR(INDEX(Sub_Markets!$B$5:$B$77,MATCH(D54,Sub_Markets!$A$5:$A$77,0)),C54)</f>
        <v>UD01</v>
      </c>
      <c r="H54" s="6" t="s">
        <v>473</v>
      </c>
      <c r="I54" s="8" t="str">
        <f aca="false">IF(C54=G54,"Yes","No")</f>
        <v>Yes</v>
      </c>
      <c r="J54" s="17" t="n">
        <v>473455000</v>
      </c>
      <c r="K54" s="6" t="s">
        <v>493</v>
      </c>
      <c r="L54" s="6" t="s">
        <v>494</v>
      </c>
      <c r="M54" s="6" t="s">
        <v>569</v>
      </c>
    </row>
    <row r="55" customFormat="false" ht="23.85" hidden="false" customHeight="false" outlineLevel="0" collapsed="false">
      <c r="A55" s="6" t="s">
        <v>570</v>
      </c>
      <c r="B55" s="6" t="s">
        <v>75</v>
      </c>
      <c r="C55" s="6" t="s">
        <v>264</v>
      </c>
      <c r="D55" s="6" t="s">
        <v>270</v>
      </c>
      <c r="E55" s="6" t="s">
        <v>571</v>
      </c>
      <c r="F55" s="17" t="n">
        <v>100000000</v>
      </c>
      <c r="G55" s="8" t="str">
        <f aca="false">IFERROR(INDEX(Sub_Markets!$B$5:$B$77,MATCH(D55,Sub_Markets!$A$5:$A$77,0)),C55)</f>
        <v>UD03</v>
      </c>
      <c r="H55" s="6" t="s">
        <v>473</v>
      </c>
      <c r="I55" s="8" t="str">
        <f aca="false">IF(C55=G55,"Yes","No")</f>
        <v>Yes</v>
      </c>
      <c r="J55" s="17" t="n">
        <v>115000000</v>
      </c>
      <c r="K55" s="6" t="s">
        <v>493</v>
      </c>
      <c r="L55" s="6" t="s">
        <v>494</v>
      </c>
      <c r="M55" s="6" t="s">
        <v>572</v>
      </c>
    </row>
    <row r="56" customFormat="false" ht="68.65" hidden="false" customHeight="false" outlineLevel="0" collapsed="false">
      <c r="A56" s="6" t="s">
        <v>573</v>
      </c>
      <c r="B56" s="6" t="s">
        <v>75</v>
      </c>
      <c r="C56" s="6" t="s">
        <v>264</v>
      </c>
      <c r="D56" s="6" t="s">
        <v>267</v>
      </c>
      <c r="E56" s="6" t="s">
        <v>574</v>
      </c>
      <c r="F56" s="17" t="n">
        <v>210000000</v>
      </c>
      <c r="G56" s="8" t="str">
        <f aca="false">IFERROR(INDEX(Sub_Markets!$B$5:$B$77,MATCH(D56,Sub_Markets!$A$5:$A$77,0)),C56)</f>
        <v>UD03</v>
      </c>
      <c r="H56" s="6" t="s">
        <v>473</v>
      </c>
      <c r="I56" s="8" t="str">
        <f aca="false">IF(C56=G56,"Yes","No")</f>
        <v>Yes</v>
      </c>
      <c r="J56" s="17" t="n">
        <v>241500000</v>
      </c>
      <c r="K56" s="6" t="s">
        <v>448</v>
      </c>
      <c r="L56" s="6" t="s">
        <v>449</v>
      </c>
      <c r="M56" s="6" t="s">
        <v>575</v>
      </c>
    </row>
    <row r="57" customFormat="false" ht="57.45" hidden="false" customHeight="false" outlineLevel="0" collapsed="false">
      <c r="A57" s="6" t="s">
        <v>576</v>
      </c>
      <c r="B57" s="6" t="s">
        <v>75</v>
      </c>
      <c r="C57" s="6" t="s">
        <v>264</v>
      </c>
      <c r="D57" s="6" t="s">
        <v>263</v>
      </c>
      <c r="E57" s="6" t="s">
        <v>577</v>
      </c>
      <c r="F57" s="17" t="n">
        <v>357000000</v>
      </c>
      <c r="G57" s="8" t="str">
        <f aca="false">IFERROR(INDEX(Sub_Markets!$B$5:$B$77,MATCH(D57,Sub_Markets!$A$5:$A$77,0)),C57)</f>
        <v>UD03</v>
      </c>
      <c r="H57" s="6" t="s">
        <v>473</v>
      </c>
      <c r="I57" s="8" t="str">
        <f aca="false">IF(C57=G57,"Yes","No")</f>
        <v>Yes</v>
      </c>
      <c r="J57" s="17" t="n">
        <v>410550000</v>
      </c>
      <c r="K57" s="6" t="s">
        <v>448</v>
      </c>
      <c r="L57" s="6" t="s">
        <v>449</v>
      </c>
      <c r="M57" s="6" t="s">
        <v>578</v>
      </c>
    </row>
    <row r="58" customFormat="false" ht="35.05" hidden="false" customHeight="false" outlineLevel="0" collapsed="false">
      <c r="A58" s="6" t="s">
        <v>579</v>
      </c>
      <c r="B58" s="6" t="s">
        <v>21</v>
      </c>
      <c r="C58" s="6" t="s">
        <v>141</v>
      </c>
      <c r="D58" s="6" t="s">
        <v>158</v>
      </c>
      <c r="E58" s="6" t="s">
        <v>580</v>
      </c>
      <c r="F58" s="17" t="n">
        <v>85000000</v>
      </c>
      <c r="G58" s="8" t="str">
        <f aca="false">IFERROR(INDEX(Sub_Markets!$B$5:$B$77,MATCH(D58,Sub_Markets!$A$5:$A$77,0)),C58)</f>
        <v>W02</v>
      </c>
      <c r="H58" s="6" t="s">
        <v>110</v>
      </c>
      <c r="I58" s="8" t="str">
        <f aca="false">IF(C58=G58,"Yes","No")</f>
        <v>Yes</v>
      </c>
      <c r="J58" s="17" t="n">
        <v>112200000</v>
      </c>
      <c r="K58" s="6" t="s">
        <v>448</v>
      </c>
      <c r="L58" s="6" t="s">
        <v>449</v>
      </c>
      <c r="M58" s="6" t="s">
        <v>445</v>
      </c>
    </row>
    <row r="59" customFormat="false" ht="46.25" hidden="false" customHeight="false" outlineLevel="0" collapsed="false">
      <c r="A59" s="6" t="s">
        <v>581</v>
      </c>
      <c r="B59" s="6" t="s">
        <v>75</v>
      </c>
      <c r="C59" s="6" t="s">
        <v>264</v>
      </c>
      <c r="D59" s="6" t="s">
        <v>267</v>
      </c>
      <c r="E59" s="6" t="s">
        <v>582</v>
      </c>
      <c r="F59" s="17" t="n">
        <v>300000000</v>
      </c>
      <c r="G59" s="8" t="str">
        <f aca="false">IFERROR(INDEX(Sub_Markets!$B$5:$B$77,MATCH(D59,Sub_Markets!$A$5:$A$77,0)),C59)</f>
        <v>UD03</v>
      </c>
      <c r="H59" s="6" t="s">
        <v>473</v>
      </c>
      <c r="I59" s="8" t="str">
        <f aca="false">IF(C59=G59,"Yes","No")</f>
        <v>Yes</v>
      </c>
      <c r="J59" s="17" t="n">
        <v>345000000</v>
      </c>
      <c r="K59" s="6" t="s">
        <v>448</v>
      </c>
      <c r="L59" s="6" t="s">
        <v>449</v>
      </c>
      <c r="M59" s="6" t="s">
        <v>583</v>
      </c>
    </row>
    <row r="60" customFormat="false" ht="35.05" hidden="false" customHeight="false" outlineLevel="0" collapsed="false">
      <c r="A60" s="6" t="s">
        <v>584</v>
      </c>
      <c r="B60" s="6" t="s">
        <v>75</v>
      </c>
      <c r="C60" s="6" t="s">
        <v>251</v>
      </c>
      <c r="D60" s="6" t="s">
        <v>260</v>
      </c>
      <c r="E60" s="6" t="s">
        <v>585</v>
      </c>
      <c r="F60" s="17" t="n">
        <v>2800000000</v>
      </c>
      <c r="G60" s="8" t="str">
        <f aca="false">IFERROR(INDEX(Sub_Markets!$B$5:$B$77,MATCH(D60,Sub_Markets!$A$5:$A$77,0)),C60)</f>
        <v>UD02</v>
      </c>
      <c r="H60" s="6" t="s">
        <v>473</v>
      </c>
      <c r="I60" s="8" t="str">
        <f aca="false">IF(C60=G60,"Yes","No")</f>
        <v>Yes</v>
      </c>
      <c r="J60" s="17" t="n">
        <v>3220000000</v>
      </c>
      <c r="K60" s="6" t="s">
        <v>493</v>
      </c>
      <c r="L60" s="6" t="s">
        <v>494</v>
      </c>
      <c r="M60" s="6" t="s">
        <v>586</v>
      </c>
    </row>
    <row r="61" customFormat="false" ht="23.85" hidden="false" customHeight="false" outlineLevel="0" collapsed="false">
      <c r="A61" s="6" t="s">
        <v>587</v>
      </c>
      <c r="B61" s="6" t="s">
        <v>21</v>
      </c>
      <c r="C61" s="6" t="s">
        <v>312</v>
      </c>
      <c r="D61" s="6" t="s">
        <v>311</v>
      </c>
      <c r="E61" s="6" t="s">
        <v>588</v>
      </c>
      <c r="F61" s="17" t="n">
        <v>15000000</v>
      </c>
      <c r="G61" s="8" t="str">
        <f aca="false">IFERROR(INDEX(Sub_Markets!$B$5:$B$77,MATCH(D61,Sub_Markets!$A$5:$A$77,0)),C61)</f>
        <v>DM03</v>
      </c>
      <c r="H61" s="6" t="s">
        <v>110</v>
      </c>
      <c r="I61" s="8" t="str">
        <f aca="false">IF(C61=G61,"Yes","No")</f>
        <v>Yes</v>
      </c>
      <c r="J61" s="17" t="n">
        <v>19800000</v>
      </c>
      <c r="K61" s="6" t="s">
        <v>448</v>
      </c>
      <c r="L61" s="6" t="s">
        <v>449</v>
      </c>
      <c r="M61" s="6" t="s">
        <v>445</v>
      </c>
    </row>
    <row r="62" customFormat="false" ht="35.05" hidden="false" customHeight="false" outlineLevel="0" collapsed="false">
      <c r="A62" s="6" t="s">
        <v>589</v>
      </c>
      <c r="B62" s="6" t="s">
        <v>21</v>
      </c>
      <c r="C62" s="6" t="s">
        <v>296</v>
      </c>
      <c r="D62" s="6" t="s">
        <v>273</v>
      </c>
      <c r="E62" s="6" t="s">
        <v>590</v>
      </c>
      <c r="F62" s="17" t="n">
        <v>300000000</v>
      </c>
      <c r="G62" s="8" t="str">
        <f aca="false">IFERROR(INDEX(Sub_Markets!$B$5:$B$77,MATCH(D62,Sub_Markets!$A$5:$A$77,0)),C62)</f>
        <v>DM01</v>
      </c>
      <c r="H62" s="6" t="s">
        <v>110</v>
      </c>
      <c r="I62" s="8" t="str">
        <f aca="false">IF(C62=G62,"Yes","No")</f>
        <v>No</v>
      </c>
      <c r="J62" s="17" t="n">
        <v>396000000</v>
      </c>
      <c r="K62" s="6" t="s">
        <v>448</v>
      </c>
      <c r="L62" s="6" t="s">
        <v>449</v>
      </c>
      <c r="M62" s="6" t="s">
        <v>445</v>
      </c>
    </row>
    <row r="63" customFormat="false" ht="57.45" hidden="false" customHeight="false" outlineLevel="0" collapsed="false">
      <c r="A63" s="6" t="s">
        <v>591</v>
      </c>
      <c r="B63" s="6" t="s">
        <v>21</v>
      </c>
      <c r="C63" s="6" t="s">
        <v>296</v>
      </c>
      <c r="D63" s="6" t="s">
        <v>277</v>
      </c>
      <c r="E63" s="6" t="s">
        <v>592</v>
      </c>
      <c r="F63" s="17" t="n">
        <v>108000000</v>
      </c>
      <c r="G63" s="8" t="str">
        <f aca="false">IFERROR(INDEX(Sub_Markets!$B$5:$B$77,MATCH(D63,Sub_Markets!$A$5:$A$77,0)),C63)</f>
        <v>DM01</v>
      </c>
      <c r="H63" s="6" t="s">
        <v>110</v>
      </c>
      <c r="I63" s="8" t="str">
        <f aca="false">IF(C63=G63,"Yes","No")</f>
        <v>No</v>
      </c>
      <c r="J63" s="17" t="n">
        <v>142560000</v>
      </c>
      <c r="K63" s="6" t="s">
        <v>448</v>
      </c>
      <c r="L63" s="6" t="s">
        <v>449</v>
      </c>
      <c r="M63" s="6" t="s">
        <v>445</v>
      </c>
    </row>
    <row r="64" customFormat="false" ht="23.85" hidden="false" customHeight="false" outlineLevel="0" collapsed="false">
      <c r="A64" s="6" t="s">
        <v>593</v>
      </c>
      <c r="B64" s="6" t="s">
        <v>21</v>
      </c>
      <c r="C64" s="6" t="s">
        <v>296</v>
      </c>
      <c r="D64" s="6" t="s">
        <v>273</v>
      </c>
      <c r="E64" s="6" t="s">
        <v>594</v>
      </c>
      <c r="F64" s="17" t="n">
        <v>2650000000</v>
      </c>
      <c r="G64" s="8" t="str">
        <f aca="false">IFERROR(INDEX(Sub_Markets!$B$5:$B$77,MATCH(D64,Sub_Markets!$A$5:$A$77,0)),C64)</f>
        <v>DM01</v>
      </c>
      <c r="H64" s="6" t="s">
        <v>110</v>
      </c>
      <c r="I64" s="8" t="str">
        <f aca="false">IF(C64=G64,"Yes","No")</f>
        <v>No</v>
      </c>
      <c r="J64" s="17" t="n">
        <v>3498000000</v>
      </c>
      <c r="K64" s="6" t="s">
        <v>448</v>
      </c>
      <c r="L64" s="6" t="s">
        <v>449</v>
      </c>
      <c r="M64" s="6" t="s">
        <v>595</v>
      </c>
    </row>
    <row r="65" customFormat="false" ht="23.85" hidden="false" customHeight="false" outlineLevel="0" collapsed="false">
      <c r="A65" s="6" t="s">
        <v>596</v>
      </c>
      <c r="B65" s="6" t="s">
        <v>21</v>
      </c>
      <c r="C65" s="6" t="s">
        <v>296</v>
      </c>
      <c r="D65" s="6" t="s">
        <v>273</v>
      </c>
      <c r="E65" s="6" t="s">
        <v>597</v>
      </c>
      <c r="F65" s="17" t="n">
        <v>5200000000</v>
      </c>
      <c r="G65" s="8" t="str">
        <f aca="false">IFERROR(INDEX(Sub_Markets!$B$5:$B$77,MATCH(D65,Sub_Markets!$A$5:$A$77,0)),C65)</f>
        <v>DM01</v>
      </c>
      <c r="H65" s="6" t="s">
        <v>110</v>
      </c>
      <c r="I65" s="8" t="str">
        <f aca="false">IF(C65=G65,"Yes","No")</f>
        <v>No</v>
      </c>
      <c r="J65" s="17" t="n">
        <v>6864000000</v>
      </c>
      <c r="K65" s="6" t="s">
        <v>448</v>
      </c>
      <c r="L65" s="6" t="s">
        <v>449</v>
      </c>
      <c r="M65" s="6" t="s">
        <v>595</v>
      </c>
    </row>
    <row r="66" customFormat="false" ht="35.05" hidden="false" customHeight="false" outlineLevel="0" collapsed="false">
      <c r="A66" s="6" t="s">
        <v>598</v>
      </c>
      <c r="B66" s="6" t="s">
        <v>45</v>
      </c>
      <c r="C66" s="6" t="s">
        <v>312</v>
      </c>
      <c r="D66" s="6" t="s">
        <v>318</v>
      </c>
      <c r="E66" s="6" t="s">
        <v>599</v>
      </c>
      <c r="F66" s="17" t="n">
        <v>3375000000</v>
      </c>
      <c r="G66" s="8" t="str">
        <f aca="false">IFERROR(INDEX(Sub_Markets!$B$5:$B$77,MATCH(D66,Sub_Markets!$A$5:$A$77,0)),C66)</f>
        <v>DM03</v>
      </c>
      <c r="H66" s="6" t="s">
        <v>535</v>
      </c>
      <c r="I66" s="8" t="str">
        <f aca="false">IF(C66=G66,"Yes","No")</f>
        <v>Yes</v>
      </c>
      <c r="J66" s="17" t="n">
        <v>2430000000</v>
      </c>
      <c r="K66" s="6" t="s">
        <v>448</v>
      </c>
      <c r="L66" s="6" t="s">
        <v>449</v>
      </c>
      <c r="M66" s="6" t="s">
        <v>600</v>
      </c>
    </row>
    <row r="67" customFormat="false" ht="23.85" hidden="false" customHeight="false" outlineLevel="0" collapsed="false">
      <c r="A67" s="6" t="s">
        <v>601</v>
      </c>
      <c r="B67" s="6" t="s">
        <v>45</v>
      </c>
      <c r="C67" s="6" t="s">
        <v>296</v>
      </c>
      <c r="D67" s="6" t="s">
        <v>273</v>
      </c>
      <c r="E67" s="6" t="s">
        <v>602</v>
      </c>
      <c r="F67" s="17" t="n">
        <v>227000000</v>
      </c>
      <c r="G67" s="8" t="str">
        <f aca="false">IFERROR(INDEX(Sub_Markets!$B$5:$B$77,MATCH(D67,Sub_Markets!$A$5:$A$77,0)),C67)</f>
        <v>DM01</v>
      </c>
      <c r="H67" s="6" t="s">
        <v>535</v>
      </c>
      <c r="I67" s="8" t="str">
        <f aca="false">IF(C67=G67,"Yes","No")</f>
        <v>No</v>
      </c>
      <c r="J67" s="17" t="n">
        <v>163440000</v>
      </c>
      <c r="K67" s="6" t="s">
        <v>448</v>
      </c>
      <c r="L67" s="6" t="s">
        <v>449</v>
      </c>
      <c r="M67" s="6" t="s">
        <v>603</v>
      </c>
    </row>
    <row r="68" customFormat="false" ht="23.85" hidden="false" customHeight="false" outlineLevel="0" collapsed="false">
      <c r="A68" s="6" t="s">
        <v>604</v>
      </c>
      <c r="B68" s="6" t="s">
        <v>45</v>
      </c>
      <c r="C68" s="6" t="s">
        <v>312</v>
      </c>
      <c r="D68" s="6" t="s">
        <v>318</v>
      </c>
      <c r="E68" s="6" t="s">
        <v>605</v>
      </c>
      <c r="F68" s="17" t="n">
        <v>1000000000</v>
      </c>
      <c r="G68" s="8" t="str">
        <f aca="false">IFERROR(INDEX(Sub_Markets!$B$5:$B$77,MATCH(D68,Sub_Markets!$A$5:$A$77,0)),C68)</f>
        <v>DM03</v>
      </c>
      <c r="H68" s="6" t="s">
        <v>535</v>
      </c>
      <c r="I68" s="8" t="str">
        <f aca="false">IF(C68=G68,"Yes","No")</f>
        <v>Yes</v>
      </c>
      <c r="J68" s="17" t="n">
        <v>720000000</v>
      </c>
      <c r="K68" s="6" t="s">
        <v>448</v>
      </c>
      <c r="L68" s="6" t="s">
        <v>449</v>
      </c>
      <c r="M68" s="6" t="s">
        <v>445</v>
      </c>
    </row>
    <row r="69" customFormat="false" ht="35.05" hidden="false" customHeight="false" outlineLevel="0" collapsed="false">
      <c r="A69" s="6" t="s">
        <v>606</v>
      </c>
      <c r="B69" s="6" t="s">
        <v>45</v>
      </c>
      <c r="C69" s="6" t="s">
        <v>121</v>
      </c>
      <c r="D69" s="6" t="s">
        <v>131</v>
      </c>
      <c r="E69" s="6" t="s">
        <v>607</v>
      </c>
      <c r="F69" s="17" t="n">
        <v>1000000000</v>
      </c>
      <c r="G69" s="8" t="str">
        <f aca="false">IFERROR(INDEX(Sub_Markets!$B$5:$B$77,MATCH(D69,Sub_Markets!$A$5:$A$77,0)),C69)</f>
        <v>W01</v>
      </c>
      <c r="H69" s="6" t="s">
        <v>535</v>
      </c>
      <c r="I69" s="8" t="str">
        <f aca="false">IF(C69=G69,"Yes","No")</f>
        <v>Yes</v>
      </c>
      <c r="J69" s="17" t="n">
        <v>720000000</v>
      </c>
      <c r="K69" s="6" t="s">
        <v>448</v>
      </c>
      <c r="L69" s="6" t="s">
        <v>449</v>
      </c>
      <c r="M69" s="6" t="s">
        <v>608</v>
      </c>
    </row>
    <row r="70" customFormat="false" ht="46.25" hidden="false" customHeight="false" outlineLevel="0" collapsed="false">
      <c r="A70" s="6" t="s">
        <v>609</v>
      </c>
      <c r="B70" s="6" t="s">
        <v>60</v>
      </c>
      <c r="C70" s="6" t="s">
        <v>274</v>
      </c>
      <c r="D70" s="6" t="s">
        <v>283</v>
      </c>
      <c r="E70" s="6" t="s">
        <v>610</v>
      </c>
      <c r="F70" s="17" t="n">
        <v>300000000</v>
      </c>
      <c r="G70" s="8" t="str">
        <f aca="false">IFERROR(INDEX(Sub_Markets!$B$5:$B$77,MATCH(D70,Sub_Markets!$A$5:$A$77,0)),C70)</f>
        <v>DM01</v>
      </c>
      <c r="H70" s="6" t="s">
        <v>473</v>
      </c>
      <c r="I70" s="8" t="str">
        <f aca="false">IF(C70=G70,"Yes","No")</f>
        <v>Yes</v>
      </c>
      <c r="J70" s="17" t="n">
        <v>345000000</v>
      </c>
      <c r="K70" s="6" t="s">
        <v>448</v>
      </c>
      <c r="L70" s="6" t="s">
        <v>449</v>
      </c>
      <c r="M70" s="6" t="s">
        <v>611</v>
      </c>
    </row>
    <row r="71" customFormat="false" ht="46.25" hidden="false" customHeight="false" outlineLevel="0" collapsed="false">
      <c r="A71" s="6" t="s">
        <v>612</v>
      </c>
      <c r="B71" s="6" t="s">
        <v>60</v>
      </c>
      <c r="C71" s="6" t="s">
        <v>274</v>
      </c>
      <c r="D71" s="6" t="s">
        <v>283</v>
      </c>
      <c r="E71" s="6" t="s">
        <v>613</v>
      </c>
      <c r="F71" s="17" t="n">
        <v>30000000</v>
      </c>
      <c r="G71" s="8" t="str">
        <f aca="false">IFERROR(INDEX(Sub_Markets!$B$5:$B$77,MATCH(D71,Sub_Markets!$A$5:$A$77,0)),C71)</f>
        <v>DM01</v>
      </c>
      <c r="H71" s="6" t="s">
        <v>473</v>
      </c>
      <c r="I71" s="8" t="str">
        <f aca="false">IF(C71=G71,"Yes","No")</f>
        <v>Yes</v>
      </c>
      <c r="J71" s="17" t="n">
        <v>34500000</v>
      </c>
      <c r="K71" s="6" t="s">
        <v>448</v>
      </c>
      <c r="L71" s="6" t="s">
        <v>449</v>
      </c>
      <c r="M71" s="6" t="s">
        <v>611</v>
      </c>
    </row>
    <row r="72" customFormat="false" ht="46.25" hidden="false" customHeight="false" outlineLevel="0" collapsed="false">
      <c r="A72" s="6" t="s">
        <v>614</v>
      </c>
      <c r="B72" s="6" t="s">
        <v>60</v>
      </c>
      <c r="C72" s="6" t="s">
        <v>312</v>
      </c>
      <c r="D72" s="6" t="s">
        <v>318</v>
      </c>
      <c r="E72" s="6" t="s">
        <v>615</v>
      </c>
      <c r="F72" s="17" t="n">
        <v>1000000000</v>
      </c>
      <c r="G72" s="8" t="str">
        <f aca="false">IFERROR(INDEX(Sub_Markets!$B$5:$B$77,MATCH(D72,Sub_Markets!$A$5:$A$77,0)),C72)</f>
        <v>DM03</v>
      </c>
      <c r="H72" s="6" t="s">
        <v>473</v>
      </c>
      <c r="I72" s="8" t="str">
        <f aca="false">IF(C72=G72,"Yes","No")</f>
        <v>Yes</v>
      </c>
      <c r="J72" s="17" t="n">
        <v>1150000000</v>
      </c>
      <c r="K72" s="6" t="s">
        <v>448</v>
      </c>
      <c r="L72" s="6" t="s">
        <v>449</v>
      </c>
      <c r="M72" s="6" t="s">
        <v>611</v>
      </c>
    </row>
    <row r="73" customFormat="false" ht="46.25" hidden="false" customHeight="false" outlineLevel="0" collapsed="false">
      <c r="A73" s="6" t="s">
        <v>616</v>
      </c>
      <c r="B73" s="6" t="s">
        <v>60</v>
      </c>
      <c r="C73" s="6" t="s">
        <v>312</v>
      </c>
      <c r="D73" s="6" t="s">
        <v>318</v>
      </c>
      <c r="E73" s="6" t="s">
        <v>617</v>
      </c>
      <c r="F73" s="17" t="n">
        <v>260000000</v>
      </c>
      <c r="G73" s="8" t="str">
        <f aca="false">IFERROR(INDEX(Sub_Markets!$B$5:$B$77,MATCH(D73,Sub_Markets!$A$5:$A$77,0)),C73)</f>
        <v>DM03</v>
      </c>
      <c r="H73" s="6" t="s">
        <v>473</v>
      </c>
      <c r="I73" s="8" t="str">
        <f aca="false">IF(C73=G73,"Yes","No")</f>
        <v>Yes</v>
      </c>
      <c r="J73" s="17" t="n">
        <v>299000000</v>
      </c>
      <c r="K73" s="6" t="s">
        <v>448</v>
      </c>
      <c r="L73" s="6" t="s">
        <v>449</v>
      </c>
      <c r="M73" s="6" t="s">
        <v>611</v>
      </c>
    </row>
    <row r="74" customFormat="false" ht="35.05" hidden="false" customHeight="false" outlineLevel="0" collapsed="false">
      <c r="A74" s="6" t="s">
        <v>618</v>
      </c>
      <c r="B74" s="6" t="s">
        <v>63</v>
      </c>
      <c r="C74" s="6" t="s">
        <v>312</v>
      </c>
      <c r="D74" s="6" t="s">
        <v>318</v>
      </c>
      <c r="E74" s="6" t="s">
        <v>619</v>
      </c>
      <c r="F74" s="17" t="n">
        <v>69500000000</v>
      </c>
      <c r="G74" s="8" t="str">
        <f aca="false">IFERROR(INDEX(Sub_Markets!$B$5:$B$77,MATCH(D74,Sub_Markets!$A$5:$A$77,0)),C74)</f>
        <v>DM03</v>
      </c>
      <c r="H74" s="6" t="s">
        <v>473</v>
      </c>
      <c r="I74" s="8" t="str">
        <f aca="false">IF(C74=G74,"Yes","No")</f>
        <v>Yes</v>
      </c>
      <c r="J74" s="17" t="n">
        <v>79925000000</v>
      </c>
      <c r="K74" s="6" t="s">
        <v>448</v>
      </c>
      <c r="L74" s="6" t="s">
        <v>449</v>
      </c>
      <c r="M74" s="6" t="s">
        <v>620</v>
      </c>
    </row>
    <row r="75" customFormat="false" ht="35.05" hidden="false" customHeight="false" outlineLevel="0" collapsed="false">
      <c r="A75" s="6" t="s">
        <v>621</v>
      </c>
      <c r="B75" s="6" t="s">
        <v>66</v>
      </c>
      <c r="C75" s="6" t="s">
        <v>296</v>
      </c>
      <c r="D75" s="6" t="s">
        <v>277</v>
      </c>
      <c r="E75" s="6" t="s">
        <v>622</v>
      </c>
      <c r="F75" s="17" t="n">
        <v>100000000</v>
      </c>
      <c r="G75" s="8" t="str">
        <f aca="false">IFERROR(INDEX(Sub_Markets!$B$5:$B$77,MATCH(D75,Sub_Markets!$A$5:$A$77,0)),C75)</f>
        <v>DM01</v>
      </c>
      <c r="H75" s="6" t="s">
        <v>473</v>
      </c>
      <c r="I75" s="8" t="str">
        <f aca="false">IF(C75=G75,"Yes","No")</f>
        <v>No</v>
      </c>
      <c r="J75" s="17" t="n">
        <v>115000000</v>
      </c>
      <c r="K75" s="6" t="s">
        <v>493</v>
      </c>
      <c r="L75" s="6" t="s">
        <v>494</v>
      </c>
      <c r="M75" s="6" t="s">
        <v>623</v>
      </c>
    </row>
    <row r="76" customFormat="false" ht="23.85" hidden="false" customHeight="false" outlineLevel="0" collapsed="false">
      <c r="A76" s="6" t="s">
        <v>624</v>
      </c>
      <c r="B76" s="6" t="s">
        <v>66</v>
      </c>
      <c r="C76" s="6" t="s">
        <v>296</v>
      </c>
      <c r="D76" s="6" t="s">
        <v>305</v>
      </c>
      <c r="E76" s="6" t="s">
        <v>625</v>
      </c>
      <c r="F76" s="17" t="n">
        <v>500000000</v>
      </c>
      <c r="G76" s="8" t="str">
        <f aca="false">IFERROR(INDEX(Sub_Markets!$B$5:$B$77,MATCH(D76,Sub_Markets!$A$5:$A$77,0)),C76)</f>
        <v>DM02</v>
      </c>
      <c r="H76" s="6" t="s">
        <v>473</v>
      </c>
      <c r="I76" s="8" t="str">
        <f aca="false">IF(C76=G76,"Yes","No")</f>
        <v>Yes</v>
      </c>
      <c r="J76" s="17" t="n">
        <v>575000000</v>
      </c>
      <c r="K76" s="6" t="s">
        <v>493</v>
      </c>
      <c r="L76" s="6" t="s">
        <v>494</v>
      </c>
      <c r="M76" s="6" t="s">
        <v>626</v>
      </c>
    </row>
    <row r="77" customFormat="false" ht="15" hidden="false" customHeight="false" outlineLevel="0" collapsed="false">
      <c r="A77" s="6" t="s">
        <v>627</v>
      </c>
      <c r="B77" s="6" t="s">
        <v>68</v>
      </c>
      <c r="C77" s="6" t="s">
        <v>296</v>
      </c>
      <c r="D77" s="6" t="s">
        <v>273</v>
      </c>
      <c r="E77" s="6" t="s">
        <v>628</v>
      </c>
      <c r="F77" s="17" t="n">
        <v>1300000000</v>
      </c>
      <c r="G77" s="8" t="str">
        <f aca="false">IFERROR(INDEX(Sub_Markets!$B$5:$B$77,MATCH(D77,Sub_Markets!$A$5:$A$77,0)),C77)</f>
        <v>DM01</v>
      </c>
      <c r="H77" s="6" t="s">
        <v>473</v>
      </c>
      <c r="I77" s="8" t="str">
        <f aca="false">IF(C77=G77,"Yes","No")</f>
        <v>No</v>
      </c>
      <c r="J77" s="17" t="n">
        <v>1495000000</v>
      </c>
      <c r="K77" s="6" t="s">
        <v>448</v>
      </c>
      <c r="L77" s="6" t="s">
        <v>449</v>
      </c>
      <c r="M77" s="6" t="s">
        <v>629</v>
      </c>
    </row>
    <row r="78" customFormat="false" ht="35.05" hidden="false" customHeight="false" outlineLevel="0" collapsed="false">
      <c r="A78" s="6" t="s">
        <v>630</v>
      </c>
      <c r="B78" s="6" t="s">
        <v>68</v>
      </c>
      <c r="C78" s="6" t="s">
        <v>296</v>
      </c>
      <c r="D78" s="6" t="s">
        <v>273</v>
      </c>
      <c r="E78" s="6" t="s">
        <v>631</v>
      </c>
      <c r="F78" s="17" t="n">
        <v>2000000</v>
      </c>
      <c r="G78" s="8" t="str">
        <f aca="false">IFERROR(INDEX(Sub_Markets!$B$5:$B$77,MATCH(D78,Sub_Markets!$A$5:$A$77,0)),C78)</f>
        <v>DM01</v>
      </c>
      <c r="H78" s="6" t="s">
        <v>473</v>
      </c>
      <c r="I78" s="8" t="str">
        <f aca="false">IF(C78=G78,"Yes","No")</f>
        <v>No</v>
      </c>
      <c r="J78" s="17" t="n">
        <v>2300000</v>
      </c>
      <c r="K78" s="6" t="s">
        <v>448</v>
      </c>
      <c r="L78" s="6" t="s">
        <v>449</v>
      </c>
      <c r="M78" s="6" t="s">
        <v>632</v>
      </c>
    </row>
    <row r="79" customFormat="false" ht="35.05" hidden="false" customHeight="false" outlineLevel="0" collapsed="false">
      <c r="A79" s="6" t="s">
        <v>633</v>
      </c>
      <c r="B79" s="6" t="s">
        <v>68</v>
      </c>
      <c r="C79" s="6" t="s">
        <v>296</v>
      </c>
      <c r="D79" s="6" t="s">
        <v>280</v>
      </c>
      <c r="E79" s="6" t="s">
        <v>634</v>
      </c>
      <c r="F79" s="17" t="n">
        <v>3000000</v>
      </c>
      <c r="G79" s="8" t="str">
        <f aca="false">IFERROR(INDEX(Sub_Markets!$B$5:$B$77,MATCH(D79,Sub_Markets!$A$5:$A$77,0)),C79)</f>
        <v>DM01</v>
      </c>
      <c r="H79" s="6" t="s">
        <v>473</v>
      </c>
      <c r="I79" s="8" t="str">
        <f aca="false">IF(C79=G79,"Yes","No")</f>
        <v>No</v>
      </c>
      <c r="J79" s="17" t="n">
        <v>3450000</v>
      </c>
      <c r="K79" s="6" t="s">
        <v>448</v>
      </c>
      <c r="L79" s="6" t="s">
        <v>449</v>
      </c>
      <c r="M79" s="6" t="s">
        <v>632</v>
      </c>
    </row>
    <row r="80" customFormat="false" ht="15" hidden="false" customHeight="false" outlineLevel="0" collapsed="false">
      <c r="A80" s="6" t="s">
        <v>635</v>
      </c>
      <c r="B80" s="6" t="s">
        <v>45</v>
      </c>
      <c r="C80" s="6" t="s">
        <v>141</v>
      </c>
      <c r="D80" s="6" t="s">
        <v>148</v>
      </c>
      <c r="E80" s="6" t="s">
        <v>636</v>
      </c>
      <c r="F80" s="17" t="n">
        <v>2300000000</v>
      </c>
      <c r="G80" s="8" t="str">
        <f aca="false">IFERROR(INDEX(Sub_Markets!$B$5:$B$77,MATCH(D80,Sub_Markets!$A$5:$A$77,0)),C80)</f>
        <v>W02</v>
      </c>
      <c r="H80" s="6" t="s">
        <v>535</v>
      </c>
      <c r="I80" s="8" t="str">
        <f aca="false">IF(C80=G80,"Yes","No")</f>
        <v>Yes</v>
      </c>
      <c r="J80" s="17" t="n">
        <v>1656000000</v>
      </c>
      <c r="K80" s="6" t="s">
        <v>448</v>
      </c>
      <c r="L80" s="6" t="s">
        <v>449</v>
      </c>
      <c r="M80" s="6" t="s">
        <v>637</v>
      </c>
    </row>
    <row r="81" customFormat="false" ht="23.85" hidden="false" customHeight="false" outlineLevel="0" collapsed="false">
      <c r="A81" s="6" t="s">
        <v>638</v>
      </c>
      <c r="B81" s="6" t="s">
        <v>71</v>
      </c>
      <c r="C81" s="6" t="s">
        <v>296</v>
      </c>
      <c r="D81" s="6" t="s">
        <v>280</v>
      </c>
      <c r="E81" s="6" t="s">
        <v>639</v>
      </c>
      <c r="F81" s="17" t="n">
        <v>250000000</v>
      </c>
      <c r="G81" s="8" t="str">
        <f aca="false">IFERROR(INDEX(Sub_Markets!$B$5:$B$77,MATCH(D81,Sub_Markets!$A$5:$A$77,0)),C81)</f>
        <v>DM01</v>
      </c>
      <c r="H81" s="6" t="s">
        <v>473</v>
      </c>
      <c r="I81" s="8" t="str">
        <f aca="false">IF(C81=G81,"Yes","No")</f>
        <v>No</v>
      </c>
      <c r="J81" s="17" t="n">
        <v>287500000</v>
      </c>
      <c r="K81" s="6" t="s">
        <v>493</v>
      </c>
      <c r="L81" s="6" t="s">
        <v>494</v>
      </c>
      <c r="M81" s="6" t="s">
        <v>640</v>
      </c>
    </row>
    <row r="82" customFormat="false" ht="35.05" hidden="false" customHeight="false" outlineLevel="0" collapsed="false">
      <c r="A82" s="6" t="s">
        <v>641</v>
      </c>
      <c r="B82" s="6" t="s">
        <v>71</v>
      </c>
      <c r="C82" s="6" t="s">
        <v>296</v>
      </c>
      <c r="D82" s="6" t="s">
        <v>273</v>
      </c>
      <c r="E82" s="6" t="s">
        <v>642</v>
      </c>
      <c r="F82" s="17" t="n">
        <v>187000000</v>
      </c>
      <c r="G82" s="8" t="str">
        <f aca="false">IFERROR(INDEX(Sub_Markets!$B$5:$B$77,MATCH(D82,Sub_Markets!$A$5:$A$77,0)),C82)</f>
        <v>DM01</v>
      </c>
      <c r="H82" s="6" t="s">
        <v>473</v>
      </c>
      <c r="I82" s="8" t="str">
        <f aca="false">IF(C82=G82,"Yes","No")</f>
        <v>No</v>
      </c>
      <c r="J82" s="17" t="n">
        <v>215050000</v>
      </c>
      <c r="K82" s="6" t="s">
        <v>448</v>
      </c>
      <c r="L82" s="6" t="s">
        <v>449</v>
      </c>
      <c r="M82" s="6" t="s">
        <v>643</v>
      </c>
    </row>
    <row r="83" customFormat="false" ht="35.05" hidden="false" customHeight="false" outlineLevel="0" collapsed="false">
      <c r="A83" s="6" t="s">
        <v>644</v>
      </c>
      <c r="B83" s="6" t="s">
        <v>71</v>
      </c>
      <c r="C83" s="6" t="s">
        <v>274</v>
      </c>
      <c r="D83" s="6" t="s">
        <v>289</v>
      </c>
      <c r="E83" s="6" t="s">
        <v>645</v>
      </c>
      <c r="F83" s="17" t="n">
        <v>52000000</v>
      </c>
      <c r="G83" s="8" t="str">
        <f aca="false">IFERROR(INDEX(Sub_Markets!$B$5:$B$77,MATCH(D83,Sub_Markets!$A$5:$A$77,0)),C83)</f>
        <v>DM01</v>
      </c>
      <c r="H83" s="6" t="s">
        <v>473</v>
      </c>
      <c r="I83" s="8" t="str">
        <f aca="false">IF(C83=G83,"Yes","No")</f>
        <v>Yes</v>
      </c>
      <c r="J83" s="17" t="n">
        <v>59800000</v>
      </c>
      <c r="K83" s="6" t="s">
        <v>493</v>
      </c>
      <c r="L83" s="6" t="s">
        <v>494</v>
      </c>
      <c r="M83" s="6" t="s">
        <v>646</v>
      </c>
    </row>
    <row r="84" customFormat="false" ht="35.05" hidden="false" customHeight="false" outlineLevel="0" collapsed="false">
      <c r="A84" s="6" t="s">
        <v>647</v>
      </c>
      <c r="B84" s="6" t="s">
        <v>75</v>
      </c>
      <c r="C84" s="6" t="s">
        <v>296</v>
      </c>
      <c r="D84" s="6" t="s">
        <v>273</v>
      </c>
      <c r="E84" s="6" t="s">
        <v>648</v>
      </c>
      <c r="F84" s="17" t="n">
        <v>1200000000</v>
      </c>
      <c r="G84" s="8" t="str">
        <f aca="false">IFERROR(INDEX(Sub_Markets!$B$5:$B$77,MATCH(D84,Sub_Markets!$A$5:$A$77,0)),C84)</f>
        <v>DM01</v>
      </c>
      <c r="H84" s="6" t="s">
        <v>473</v>
      </c>
      <c r="I84" s="8" t="str">
        <f aca="false">IF(C84=G84,"Yes","No")</f>
        <v>No</v>
      </c>
      <c r="J84" s="17" t="n">
        <v>1380000000</v>
      </c>
      <c r="K84" s="6" t="s">
        <v>493</v>
      </c>
      <c r="L84" s="6" t="s">
        <v>494</v>
      </c>
      <c r="M84" s="6" t="s">
        <v>649</v>
      </c>
    </row>
    <row r="85" customFormat="false" ht="46.25" hidden="false" customHeight="false" outlineLevel="0" collapsed="false">
      <c r="A85" s="6" t="s">
        <v>650</v>
      </c>
      <c r="B85" s="6" t="s">
        <v>75</v>
      </c>
      <c r="C85" s="6" t="s">
        <v>312</v>
      </c>
      <c r="D85" s="6" t="s">
        <v>311</v>
      </c>
      <c r="E85" s="6" t="s">
        <v>651</v>
      </c>
      <c r="F85" s="17" t="n">
        <v>800000000</v>
      </c>
      <c r="G85" s="8" t="str">
        <f aca="false">IFERROR(INDEX(Sub_Markets!$B$5:$B$77,MATCH(D85,Sub_Markets!$A$5:$A$77,0)),C85)</f>
        <v>DM03</v>
      </c>
      <c r="H85" s="6" t="s">
        <v>473</v>
      </c>
      <c r="I85" s="8" t="str">
        <f aca="false">IF(C85=G85,"Yes","No")</f>
        <v>Yes</v>
      </c>
      <c r="J85" s="17" t="n">
        <v>920000000</v>
      </c>
      <c r="K85" s="6" t="s">
        <v>493</v>
      </c>
      <c r="L85" s="6" t="s">
        <v>494</v>
      </c>
      <c r="M85" s="6" t="s">
        <v>652</v>
      </c>
    </row>
    <row r="86" customFormat="false" ht="23.85" hidden="false" customHeight="false" outlineLevel="0" collapsed="false">
      <c r="A86" s="6" t="s">
        <v>653</v>
      </c>
      <c r="B86" s="6" t="s">
        <v>75</v>
      </c>
      <c r="C86" s="6" t="s">
        <v>312</v>
      </c>
      <c r="D86" s="6" t="s">
        <v>311</v>
      </c>
      <c r="E86" s="6" t="s">
        <v>654</v>
      </c>
      <c r="F86" s="17" t="n">
        <v>889000000</v>
      </c>
      <c r="G86" s="8" t="str">
        <f aca="false">IFERROR(INDEX(Sub_Markets!$B$5:$B$77,MATCH(D86,Sub_Markets!$A$5:$A$77,0)),C86)</f>
        <v>DM03</v>
      </c>
      <c r="H86" s="6" t="s">
        <v>473</v>
      </c>
      <c r="I86" s="8" t="str">
        <f aca="false">IF(C86=G86,"Yes","No")</f>
        <v>Yes</v>
      </c>
      <c r="J86" s="17" t="n">
        <v>1022350000</v>
      </c>
      <c r="K86" s="6" t="s">
        <v>493</v>
      </c>
      <c r="L86" s="6" t="s">
        <v>494</v>
      </c>
      <c r="M86" s="6" t="s">
        <v>655</v>
      </c>
    </row>
    <row r="87" customFormat="false" ht="46.25" hidden="false" customHeight="false" outlineLevel="0" collapsed="false">
      <c r="A87" s="6" t="s">
        <v>656</v>
      </c>
      <c r="B87" s="6" t="s">
        <v>57</v>
      </c>
      <c r="C87" s="6" t="s">
        <v>296</v>
      </c>
      <c r="D87" s="6" t="s">
        <v>280</v>
      </c>
      <c r="E87" s="6" t="s">
        <v>657</v>
      </c>
      <c r="F87" s="17" t="n">
        <v>30000000000</v>
      </c>
      <c r="G87" s="8" t="str">
        <f aca="false">IFERROR(INDEX(Sub_Markets!$B$5:$B$77,MATCH(D87,Sub_Markets!$A$5:$A$77,0)),C87)</f>
        <v>DM01</v>
      </c>
      <c r="H87" s="6" t="s">
        <v>658</v>
      </c>
      <c r="I87" s="8" t="str">
        <f aca="false">IF(C87=G87,"Yes","No")</f>
        <v>No</v>
      </c>
      <c r="J87" s="17" t="n">
        <v>8100000000</v>
      </c>
      <c r="K87" s="6" t="s">
        <v>493</v>
      </c>
      <c r="L87" s="6" t="s">
        <v>494</v>
      </c>
      <c r="M87" s="6" t="s">
        <v>659</v>
      </c>
    </row>
    <row r="88" customFormat="false" ht="23.85" hidden="false" customHeight="false" outlineLevel="0" collapsed="false">
      <c r="A88" s="6" t="s">
        <v>660</v>
      </c>
      <c r="B88" s="6" t="s">
        <v>21</v>
      </c>
      <c r="C88" s="6" t="s">
        <v>329</v>
      </c>
      <c r="D88" s="6" t="s">
        <v>332</v>
      </c>
      <c r="E88" s="6" t="s">
        <v>661</v>
      </c>
      <c r="F88" s="17" t="n">
        <v>10000000000</v>
      </c>
      <c r="G88" s="8" t="str">
        <f aca="false">IFERROR(INDEX(Sub_Markets!$B$5:$B$77,MATCH(D88,Sub_Markets!$A$5:$A$77,0)),C88)</f>
        <v>P02</v>
      </c>
      <c r="H88" s="6" t="s">
        <v>110</v>
      </c>
      <c r="I88" s="8" t="str">
        <f aca="false">IF(C88=G88,"Yes","No")</f>
        <v>Yes</v>
      </c>
      <c r="J88" s="17" t="n">
        <v>13200000000</v>
      </c>
      <c r="K88" s="6" t="s">
        <v>493</v>
      </c>
      <c r="L88" s="6" t="s">
        <v>494</v>
      </c>
      <c r="M88" s="6" t="s">
        <v>445</v>
      </c>
    </row>
    <row r="89" customFormat="false" ht="46.25" hidden="false" customHeight="false" outlineLevel="0" collapsed="false">
      <c r="A89" s="6" t="s">
        <v>662</v>
      </c>
      <c r="B89" s="6" t="s">
        <v>21</v>
      </c>
      <c r="C89" s="6" t="s">
        <v>322</v>
      </c>
      <c r="D89" s="6" t="s">
        <v>321</v>
      </c>
      <c r="E89" s="6" t="s">
        <v>663</v>
      </c>
      <c r="F89" s="17" t="n">
        <v>220000000</v>
      </c>
      <c r="G89" s="8" t="str">
        <f aca="false">IFERROR(INDEX(Sub_Markets!$B$5:$B$77,MATCH(D89,Sub_Markets!$A$5:$A$77,0)),C89)</f>
        <v>P01</v>
      </c>
      <c r="H89" s="6" t="s">
        <v>110</v>
      </c>
      <c r="I89" s="8" t="str">
        <f aca="false">IF(C89=G89,"Yes","No")</f>
        <v>Yes</v>
      </c>
      <c r="J89" s="17" t="n">
        <v>290400000</v>
      </c>
      <c r="K89" s="6" t="s">
        <v>493</v>
      </c>
      <c r="L89" s="6" t="s">
        <v>494</v>
      </c>
      <c r="M89" s="6" t="s">
        <v>664</v>
      </c>
    </row>
    <row r="90" customFormat="false" ht="46.25" hidden="false" customHeight="false" outlineLevel="0" collapsed="false">
      <c r="A90" s="6" t="s">
        <v>665</v>
      </c>
      <c r="B90" s="6" t="s">
        <v>21</v>
      </c>
      <c r="C90" s="6" t="s">
        <v>345</v>
      </c>
      <c r="D90" s="6" t="s">
        <v>354</v>
      </c>
      <c r="E90" s="6" t="s">
        <v>666</v>
      </c>
      <c r="F90" s="17" t="n">
        <v>448000000</v>
      </c>
      <c r="G90" s="8" t="str">
        <f aca="false">IFERROR(INDEX(Sub_Markets!$B$5:$B$77,MATCH(D90,Sub_Markets!$A$5:$A$77,0)),C90)</f>
        <v>P03</v>
      </c>
      <c r="H90" s="6" t="s">
        <v>110</v>
      </c>
      <c r="I90" s="8" t="str">
        <f aca="false">IF(C90=G90,"Yes","No")</f>
        <v>Yes</v>
      </c>
      <c r="J90" s="17" t="n">
        <v>591360000</v>
      </c>
      <c r="K90" s="6" t="s">
        <v>448</v>
      </c>
      <c r="L90" s="6" t="s">
        <v>449</v>
      </c>
      <c r="M90" s="6" t="s">
        <v>445</v>
      </c>
    </row>
    <row r="91" customFormat="false" ht="15" hidden="false" customHeight="false" outlineLevel="0" collapsed="false">
      <c r="A91" s="6" t="s">
        <v>667</v>
      </c>
      <c r="B91" s="6" t="s">
        <v>45</v>
      </c>
      <c r="C91" s="6" t="s">
        <v>141</v>
      </c>
      <c r="D91" s="6" t="s">
        <v>152</v>
      </c>
      <c r="E91" s="6" t="s">
        <v>668</v>
      </c>
      <c r="F91" s="17" t="n">
        <v>976800000</v>
      </c>
      <c r="G91" s="8" t="str">
        <f aca="false">IFERROR(INDEX(Sub_Markets!$B$5:$B$77,MATCH(D91,Sub_Markets!$A$5:$A$77,0)),C91)</f>
        <v>W02</v>
      </c>
      <c r="H91" s="6" t="s">
        <v>535</v>
      </c>
      <c r="I91" s="8" t="str">
        <f aca="false">IF(C91=G91,"Yes","No")</f>
        <v>Yes</v>
      </c>
      <c r="J91" s="17" t="n">
        <v>703296000</v>
      </c>
      <c r="K91" s="6" t="s">
        <v>448</v>
      </c>
      <c r="L91" s="6" t="s">
        <v>449</v>
      </c>
      <c r="M91" s="6" t="s">
        <v>637</v>
      </c>
    </row>
    <row r="92" customFormat="false" ht="35.05" hidden="false" customHeight="false" outlineLevel="0" collapsed="false">
      <c r="A92" s="6" t="s">
        <v>669</v>
      </c>
      <c r="B92" s="6" t="s">
        <v>21</v>
      </c>
      <c r="C92" s="6" t="s">
        <v>345</v>
      </c>
      <c r="D92" s="6" t="s">
        <v>344</v>
      </c>
      <c r="E92" s="6" t="s">
        <v>670</v>
      </c>
      <c r="F92" s="17" t="n">
        <v>150000000</v>
      </c>
      <c r="G92" s="8" t="str">
        <f aca="false">IFERROR(INDEX(Sub_Markets!$B$5:$B$77,MATCH(D92,Sub_Markets!$A$5:$A$77,0)),C92)</f>
        <v>P03</v>
      </c>
      <c r="H92" s="6" t="s">
        <v>110</v>
      </c>
      <c r="I92" s="8" t="str">
        <f aca="false">IF(C92=G92,"Yes","No")</f>
        <v>Yes</v>
      </c>
      <c r="J92" s="17" t="n">
        <v>198000000</v>
      </c>
      <c r="K92" s="6" t="s">
        <v>493</v>
      </c>
      <c r="L92" s="6" t="s">
        <v>494</v>
      </c>
      <c r="M92" s="6" t="s">
        <v>671</v>
      </c>
    </row>
    <row r="93" customFormat="false" ht="35.05" hidden="false" customHeight="false" outlineLevel="0" collapsed="false">
      <c r="A93" s="6" t="s">
        <v>672</v>
      </c>
      <c r="B93" s="6" t="s">
        <v>45</v>
      </c>
      <c r="C93" s="6" t="s">
        <v>322</v>
      </c>
      <c r="D93" s="6" t="s">
        <v>321</v>
      </c>
      <c r="E93" s="6" t="s">
        <v>673</v>
      </c>
      <c r="F93" s="17" t="n">
        <v>25000000</v>
      </c>
      <c r="G93" s="8" t="str">
        <f aca="false">IFERROR(INDEX(Sub_Markets!$B$5:$B$77,MATCH(D93,Sub_Markets!$A$5:$A$77,0)),C93)</f>
        <v>P01</v>
      </c>
      <c r="H93" s="6" t="s">
        <v>535</v>
      </c>
      <c r="I93" s="8" t="str">
        <f aca="false">IF(C93=G93,"Yes","No")</f>
        <v>Yes</v>
      </c>
      <c r="J93" s="17" t="n">
        <v>18000000</v>
      </c>
      <c r="K93" s="6" t="s">
        <v>448</v>
      </c>
      <c r="L93" s="6" t="s">
        <v>449</v>
      </c>
      <c r="M93" s="6" t="s">
        <v>674</v>
      </c>
    </row>
    <row r="94" customFormat="false" ht="23.85" hidden="false" customHeight="false" outlineLevel="0" collapsed="false">
      <c r="A94" s="6" t="s">
        <v>675</v>
      </c>
      <c r="B94" s="6" t="s">
        <v>45</v>
      </c>
      <c r="C94" s="6" t="s">
        <v>329</v>
      </c>
      <c r="D94" s="6" t="s">
        <v>332</v>
      </c>
      <c r="E94" s="6" t="s">
        <v>676</v>
      </c>
      <c r="F94" s="17" t="n">
        <v>20000000</v>
      </c>
      <c r="G94" s="8" t="str">
        <f aca="false">IFERROR(INDEX(Sub_Markets!$B$5:$B$77,MATCH(D94,Sub_Markets!$A$5:$A$77,0)),C94)</f>
        <v>P02</v>
      </c>
      <c r="H94" s="6" t="s">
        <v>535</v>
      </c>
      <c r="I94" s="8" t="str">
        <f aca="false">IF(C94=G94,"Yes","No")</f>
        <v>Yes</v>
      </c>
      <c r="J94" s="17" t="n">
        <v>14400000</v>
      </c>
      <c r="K94" s="6" t="s">
        <v>448</v>
      </c>
      <c r="L94" s="6" t="s">
        <v>449</v>
      </c>
      <c r="M94" s="6" t="s">
        <v>445</v>
      </c>
    </row>
    <row r="95" customFormat="false" ht="23.85" hidden="false" customHeight="false" outlineLevel="0" collapsed="false">
      <c r="A95" s="6" t="s">
        <v>677</v>
      </c>
      <c r="B95" s="6" t="s">
        <v>60</v>
      </c>
      <c r="C95" s="6" t="s">
        <v>329</v>
      </c>
      <c r="D95" s="6" t="s">
        <v>332</v>
      </c>
      <c r="E95" s="6" t="s">
        <v>678</v>
      </c>
      <c r="F95" s="17" t="n">
        <v>400000000</v>
      </c>
      <c r="G95" s="8" t="str">
        <f aca="false">IFERROR(INDEX(Sub_Markets!$B$5:$B$77,MATCH(D95,Sub_Markets!$A$5:$A$77,0)),C95)</f>
        <v>P02</v>
      </c>
      <c r="H95" s="6" t="s">
        <v>473</v>
      </c>
      <c r="I95" s="8" t="str">
        <f aca="false">IF(C95=G95,"Yes","No")</f>
        <v>Yes</v>
      </c>
      <c r="J95" s="17" t="n">
        <v>460000000</v>
      </c>
      <c r="K95" s="6" t="s">
        <v>448</v>
      </c>
      <c r="L95" s="6" t="s">
        <v>449</v>
      </c>
      <c r="M95" s="6" t="s">
        <v>679</v>
      </c>
    </row>
    <row r="96" customFormat="false" ht="15" hidden="false" customHeight="false" outlineLevel="0" collapsed="false">
      <c r="A96" s="6" t="s">
        <v>680</v>
      </c>
      <c r="B96" s="6" t="s">
        <v>60</v>
      </c>
      <c r="C96" s="6" t="s">
        <v>329</v>
      </c>
      <c r="D96" s="6" t="s">
        <v>335</v>
      </c>
      <c r="E96" s="6" t="s">
        <v>681</v>
      </c>
      <c r="F96" s="17" t="n">
        <v>500000000</v>
      </c>
      <c r="G96" s="8" t="str">
        <f aca="false">IFERROR(INDEX(Sub_Markets!$B$5:$B$77,MATCH(D96,Sub_Markets!$A$5:$A$77,0)),C96)</f>
        <v>P02</v>
      </c>
      <c r="H96" s="6" t="s">
        <v>473</v>
      </c>
      <c r="I96" s="8" t="str">
        <f aca="false">IF(C96=G96,"Yes","No")</f>
        <v>Yes</v>
      </c>
      <c r="J96" s="17" t="n">
        <v>575000000</v>
      </c>
      <c r="K96" s="6" t="s">
        <v>448</v>
      </c>
      <c r="L96" s="6" t="s">
        <v>449</v>
      </c>
      <c r="M96" s="6" t="s">
        <v>682</v>
      </c>
    </row>
    <row r="97" customFormat="false" ht="35.05" hidden="false" customHeight="false" outlineLevel="0" collapsed="false">
      <c r="A97" s="6" t="s">
        <v>683</v>
      </c>
      <c r="B97" s="6" t="s">
        <v>60</v>
      </c>
      <c r="C97" s="6" t="s">
        <v>322</v>
      </c>
      <c r="D97" s="6" t="s">
        <v>325</v>
      </c>
      <c r="E97" s="6" t="s">
        <v>684</v>
      </c>
      <c r="F97" s="17" t="n">
        <v>16000000</v>
      </c>
      <c r="G97" s="8" t="str">
        <f aca="false">IFERROR(INDEX(Sub_Markets!$B$5:$B$77,MATCH(D97,Sub_Markets!$A$5:$A$77,0)),C97)</f>
        <v>P01</v>
      </c>
      <c r="H97" s="6" t="s">
        <v>473</v>
      </c>
      <c r="I97" s="8" t="str">
        <f aca="false">IF(C97=G97,"Yes","No")</f>
        <v>Yes</v>
      </c>
      <c r="J97" s="17" t="n">
        <v>18400000</v>
      </c>
      <c r="K97" s="6" t="s">
        <v>443</v>
      </c>
      <c r="L97" s="6" t="s">
        <v>685</v>
      </c>
      <c r="M97" s="6" t="s">
        <v>686</v>
      </c>
    </row>
    <row r="98" customFormat="false" ht="35.05" hidden="false" customHeight="false" outlineLevel="0" collapsed="false">
      <c r="A98" s="6" t="s">
        <v>687</v>
      </c>
      <c r="B98" s="6" t="s">
        <v>63</v>
      </c>
      <c r="C98" s="6" t="s">
        <v>329</v>
      </c>
      <c r="D98" s="6" t="s">
        <v>332</v>
      </c>
      <c r="E98" s="6" t="s">
        <v>688</v>
      </c>
      <c r="F98" s="17" t="n">
        <v>1884890000</v>
      </c>
      <c r="G98" s="8" t="str">
        <f aca="false">IFERROR(INDEX(Sub_Markets!$B$5:$B$77,MATCH(D98,Sub_Markets!$A$5:$A$77,0)),C98)</f>
        <v>P02</v>
      </c>
      <c r="H98" s="6" t="s">
        <v>473</v>
      </c>
      <c r="I98" s="8" t="str">
        <f aca="false">IF(C98=G98,"Yes","No")</f>
        <v>Yes</v>
      </c>
      <c r="J98" s="17" t="n">
        <v>2167623500</v>
      </c>
      <c r="K98" s="6" t="s">
        <v>448</v>
      </c>
      <c r="L98" s="6" t="s">
        <v>449</v>
      </c>
      <c r="M98" s="6" t="s">
        <v>689</v>
      </c>
    </row>
    <row r="99" customFormat="false" ht="35.05" hidden="false" customHeight="false" outlineLevel="0" collapsed="false">
      <c r="A99" s="6" t="s">
        <v>690</v>
      </c>
      <c r="B99" s="6" t="s">
        <v>63</v>
      </c>
      <c r="C99" s="6" t="s">
        <v>322</v>
      </c>
      <c r="D99" s="6" t="s">
        <v>321</v>
      </c>
      <c r="E99" s="6" t="s">
        <v>691</v>
      </c>
      <c r="F99" s="17" t="n">
        <v>13000000</v>
      </c>
      <c r="G99" s="8" t="str">
        <f aca="false">IFERROR(INDEX(Sub_Markets!$B$5:$B$77,MATCH(D99,Sub_Markets!$A$5:$A$77,0)),C99)</f>
        <v>P01</v>
      </c>
      <c r="H99" s="6" t="s">
        <v>473</v>
      </c>
      <c r="I99" s="8" t="str">
        <f aca="false">IF(C99=G99,"Yes","No")</f>
        <v>Yes</v>
      </c>
      <c r="J99" s="17" t="n">
        <v>14950000</v>
      </c>
      <c r="K99" s="6" t="s">
        <v>503</v>
      </c>
      <c r="L99" s="6" t="s">
        <v>692</v>
      </c>
      <c r="M99" s="6" t="s">
        <v>693</v>
      </c>
    </row>
    <row r="100" customFormat="false" ht="46.25" hidden="false" customHeight="false" outlineLevel="0" collapsed="false">
      <c r="A100" s="6" t="s">
        <v>694</v>
      </c>
      <c r="B100" s="6" t="s">
        <v>63</v>
      </c>
      <c r="C100" s="6" t="s">
        <v>322</v>
      </c>
      <c r="D100" s="6" t="s">
        <v>325</v>
      </c>
      <c r="E100" s="6" t="s">
        <v>695</v>
      </c>
      <c r="F100" s="17" t="n">
        <v>8500000</v>
      </c>
      <c r="G100" s="8" t="str">
        <f aca="false">IFERROR(INDEX(Sub_Markets!$B$5:$B$77,MATCH(D100,Sub_Markets!$A$5:$A$77,0)),C100)</f>
        <v>P01</v>
      </c>
      <c r="H100" s="6" t="s">
        <v>473</v>
      </c>
      <c r="I100" s="8" t="str">
        <f aca="false">IF(C100=G100,"Yes","No")</f>
        <v>Yes</v>
      </c>
      <c r="J100" s="17" t="n">
        <v>9775000</v>
      </c>
      <c r="K100" s="6" t="s">
        <v>503</v>
      </c>
      <c r="L100" s="6" t="s">
        <v>692</v>
      </c>
      <c r="M100" s="6" t="s">
        <v>696</v>
      </c>
    </row>
    <row r="101" customFormat="false" ht="35.05" hidden="false" customHeight="false" outlineLevel="0" collapsed="false">
      <c r="A101" s="6" t="s">
        <v>697</v>
      </c>
      <c r="B101" s="6" t="s">
        <v>63</v>
      </c>
      <c r="C101" s="6" t="s">
        <v>345</v>
      </c>
      <c r="D101" s="6" t="s">
        <v>344</v>
      </c>
      <c r="E101" s="6" t="s">
        <v>698</v>
      </c>
      <c r="F101" s="17" t="n">
        <v>13100000</v>
      </c>
      <c r="G101" s="8" t="str">
        <f aca="false">IFERROR(INDEX(Sub_Markets!$B$5:$B$77,MATCH(D101,Sub_Markets!$A$5:$A$77,0)),C101)</f>
        <v>P03</v>
      </c>
      <c r="H101" s="6" t="s">
        <v>473</v>
      </c>
      <c r="I101" s="8" t="str">
        <f aca="false">IF(C101=G101,"Yes","No")</f>
        <v>Yes</v>
      </c>
      <c r="J101" s="17" t="n">
        <v>15065000</v>
      </c>
      <c r="K101" s="6" t="s">
        <v>493</v>
      </c>
      <c r="L101" s="6" t="s">
        <v>494</v>
      </c>
      <c r="M101" s="6" t="s">
        <v>699</v>
      </c>
    </row>
    <row r="102" customFormat="false" ht="46.25" hidden="false" customHeight="false" outlineLevel="0" collapsed="false">
      <c r="A102" s="6" t="s">
        <v>700</v>
      </c>
      <c r="B102" s="6" t="s">
        <v>45</v>
      </c>
      <c r="C102" s="6" t="s">
        <v>141</v>
      </c>
      <c r="D102" s="6" t="s">
        <v>152</v>
      </c>
      <c r="E102" s="6" t="s">
        <v>701</v>
      </c>
      <c r="F102" s="17" t="n">
        <v>444300000</v>
      </c>
      <c r="G102" s="8" t="str">
        <f aca="false">IFERROR(INDEX(Sub_Markets!$B$5:$B$77,MATCH(D102,Sub_Markets!$A$5:$A$77,0)),C102)</f>
        <v>W02</v>
      </c>
      <c r="H102" s="6" t="s">
        <v>535</v>
      </c>
      <c r="I102" s="8" t="str">
        <f aca="false">IF(C102=G102,"Yes","No")</f>
        <v>Yes</v>
      </c>
      <c r="J102" s="17" t="n">
        <v>319896000</v>
      </c>
      <c r="K102" s="6" t="s">
        <v>448</v>
      </c>
      <c r="L102" s="6" t="s">
        <v>449</v>
      </c>
      <c r="M102" s="6" t="s">
        <v>536</v>
      </c>
    </row>
    <row r="103" customFormat="false" ht="23.85" hidden="false" customHeight="false" outlineLevel="0" collapsed="false">
      <c r="A103" s="6" t="s">
        <v>702</v>
      </c>
      <c r="B103" s="6" t="s">
        <v>68</v>
      </c>
      <c r="C103" s="6" t="s">
        <v>329</v>
      </c>
      <c r="D103" s="6" t="s">
        <v>332</v>
      </c>
      <c r="E103" s="6" t="s">
        <v>703</v>
      </c>
      <c r="F103" s="17" t="n">
        <v>27000000</v>
      </c>
      <c r="G103" s="8" t="str">
        <f aca="false">IFERROR(INDEX(Sub_Markets!$B$5:$B$77,MATCH(D103,Sub_Markets!$A$5:$A$77,0)),C103)</f>
        <v>P02</v>
      </c>
      <c r="H103" s="6" t="s">
        <v>473</v>
      </c>
      <c r="I103" s="8" t="str">
        <f aca="false">IF(C103=G103,"Yes","No")</f>
        <v>Yes</v>
      </c>
      <c r="J103" s="17" t="n">
        <v>31050000</v>
      </c>
      <c r="K103" s="6" t="s">
        <v>448</v>
      </c>
      <c r="L103" s="6" t="s">
        <v>449</v>
      </c>
      <c r="M103" s="6" t="s">
        <v>704</v>
      </c>
    </row>
    <row r="104" customFormat="false" ht="46.25" hidden="false" customHeight="false" outlineLevel="0" collapsed="false">
      <c r="A104" s="6" t="s">
        <v>705</v>
      </c>
      <c r="B104" s="6" t="s">
        <v>68</v>
      </c>
      <c r="C104" s="6" t="s">
        <v>329</v>
      </c>
      <c r="D104" s="6" t="s">
        <v>332</v>
      </c>
      <c r="E104" s="6" t="s">
        <v>706</v>
      </c>
      <c r="F104" s="17" t="n">
        <v>30000000</v>
      </c>
      <c r="G104" s="8" t="str">
        <f aca="false">IFERROR(INDEX(Sub_Markets!$B$5:$B$77,MATCH(D104,Sub_Markets!$A$5:$A$77,0)),C104)</f>
        <v>P02</v>
      </c>
      <c r="H104" s="6" t="s">
        <v>473</v>
      </c>
      <c r="I104" s="8" t="str">
        <f aca="false">IF(C104=G104,"Yes","No")</f>
        <v>Yes</v>
      </c>
      <c r="J104" s="17" t="n">
        <v>34500000</v>
      </c>
      <c r="K104" s="6" t="s">
        <v>448</v>
      </c>
      <c r="L104" s="6" t="s">
        <v>449</v>
      </c>
      <c r="M104" s="6" t="s">
        <v>707</v>
      </c>
    </row>
    <row r="105" customFormat="false" ht="35.05" hidden="false" customHeight="false" outlineLevel="0" collapsed="false">
      <c r="A105" s="6" t="s">
        <v>708</v>
      </c>
      <c r="B105" s="6" t="s">
        <v>68</v>
      </c>
      <c r="C105" s="6" t="s">
        <v>345</v>
      </c>
      <c r="D105" s="6" t="s">
        <v>354</v>
      </c>
      <c r="E105" s="6" t="s">
        <v>709</v>
      </c>
      <c r="F105" s="17" t="n">
        <v>6500000</v>
      </c>
      <c r="G105" s="8" t="str">
        <f aca="false">IFERROR(INDEX(Sub_Markets!$B$5:$B$77,MATCH(D105,Sub_Markets!$A$5:$A$77,0)),C105)</f>
        <v>P03</v>
      </c>
      <c r="H105" s="6" t="s">
        <v>473</v>
      </c>
      <c r="I105" s="8" t="str">
        <f aca="false">IF(C105=G105,"Yes","No")</f>
        <v>Yes</v>
      </c>
      <c r="J105" s="17" t="n">
        <v>7475000</v>
      </c>
      <c r="K105" s="6" t="s">
        <v>448</v>
      </c>
      <c r="L105" s="6" t="s">
        <v>449</v>
      </c>
      <c r="M105" s="6" t="s">
        <v>710</v>
      </c>
    </row>
    <row r="106" customFormat="false" ht="23.85" hidden="false" customHeight="false" outlineLevel="0" collapsed="false">
      <c r="A106" s="6" t="s">
        <v>711</v>
      </c>
      <c r="B106" s="6" t="s">
        <v>68</v>
      </c>
      <c r="C106" s="6" t="s">
        <v>345</v>
      </c>
      <c r="D106" s="6" t="s">
        <v>348</v>
      </c>
      <c r="E106" s="6" t="s">
        <v>712</v>
      </c>
      <c r="F106" s="17" t="n">
        <v>18000000</v>
      </c>
      <c r="G106" s="8" t="str">
        <f aca="false">IFERROR(INDEX(Sub_Markets!$B$5:$B$77,MATCH(D106,Sub_Markets!$A$5:$A$77,0)),C106)</f>
        <v>P03</v>
      </c>
      <c r="H106" s="6" t="s">
        <v>473</v>
      </c>
      <c r="I106" s="8" t="str">
        <f aca="false">IF(C106=G106,"Yes","No")</f>
        <v>Yes</v>
      </c>
      <c r="J106" s="17" t="n">
        <v>20700000</v>
      </c>
      <c r="K106" s="6" t="s">
        <v>493</v>
      </c>
      <c r="L106" s="6" t="s">
        <v>494</v>
      </c>
      <c r="M106" s="6" t="s">
        <v>713</v>
      </c>
    </row>
    <row r="107" customFormat="false" ht="35.05" hidden="false" customHeight="false" outlineLevel="0" collapsed="false">
      <c r="A107" s="6" t="s">
        <v>714</v>
      </c>
      <c r="B107" s="6" t="s">
        <v>71</v>
      </c>
      <c r="C107" s="6" t="s">
        <v>329</v>
      </c>
      <c r="D107" s="6" t="s">
        <v>332</v>
      </c>
      <c r="E107" s="6" t="s">
        <v>715</v>
      </c>
      <c r="F107" s="17" t="n">
        <v>30000000</v>
      </c>
      <c r="G107" s="8" t="str">
        <f aca="false">IFERROR(INDEX(Sub_Markets!$B$5:$B$77,MATCH(D107,Sub_Markets!$A$5:$A$77,0)),C107)</f>
        <v>P02</v>
      </c>
      <c r="H107" s="6" t="s">
        <v>473</v>
      </c>
      <c r="I107" s="8" t="str">
        <f aca="false">IF(C107=G107,"Yes","No")</f>
        <v>Yes</v>
      </c>
      <c r="J107" s="17" t="n">
        <v>34500000</v>
      </c>
      <c r="K107" s="6" t="s">
        <v>448</v>
      </c>
      <c r="L107" s="6" t="s">
        <v>449</v>
      </c>
      <c r="M107" s="6" t="s">
        <v>716</v>
      </c>
    </row>
    <row r="108" customFormat="false" ht="35.05" hidden="false" customHeight="false" outlineLevel="0" collapsed="false">
      <c r="A108" s="6" t="s">
        <v>717</v>
      </c>
      <c r="B108" s="6" t="s">
        <v>71</v>
      </c>
      <c r="C108" s="6" t="s">
        <v>345</v>
      </c>
      <c r="D108" s="6" t="s">
        <v>344</v>
      </c>
      <c r="E108" s="6" t="s">
        <v>718</v>
      </c>
      <c r="F108" s="17" t="n">
        <v>1700000</v>
      </c>
      <c r="G108" s="8" t="str">
        <f aca="false">IFERROR(INDEX(Sub_Markets!$B$5:$B$77,MATCH(D108,Sub_Markets!$A$5:$A$77,0)),C108)</f>
        <v>P03</v>
      </c>
      <c r="H108" s="6" t="s">
        <v>473</v>
      </c>
      <c r="I108" s="8" t="str">
        <f aca="false">IF(C108=G108,"Yes","No")</f>
        <v>Yes</v>
      </c>
      <c r="J108" s="17" t="n">
        <v>1955000</v>
      </c>
      <c r="K108" s="6" t="s">
        <v>448</v>
      </c>
      <c r="L108" s="6" t="s">
        <v>449</v>
      </c>
      <c r="M108" s="6" t="s">
        <v>719</v>
      </c>
    </row>
    <row r="109" customFormat="false" ht="35.05" hidden="false" customHeight="false" outlineLevel="0" collapsed="false">
      <c r="A109" s="6" t="s">
        <v>720</v>
      </c>
      <c r="B109" s="6" t="s">
        <v>71</v>
      </c>
      <c r="C109" s="6" t="s">
        <v>345</v>
      </c>
      <c r="D109" s="6" t="s">
        <v>348</v>
      </c>
      <c r="E109" s="6" t="s">
        <v>721</v>
      </c>
      <c r="F109" s="17" t="n">
        <v>10000000</v>
      </c>
      <c r="G109" s="8" t="str">
        <f aca="false">IFERROR(INDEX(Sub_Markets!$B$5:$B$77,MATCH(D109,Sub_Markets!$A$5:$A$77,0)),C109)</f>
        <v>P03</v>
      </c>
      <c r="H109" s="6" t="s">
        <v>473</v>
      </c>
      <c r="I109" s="8" t="str">
        <f aca="false">IF(C109=G109,"Yes","No")</f>
        <v>Yes</v>
      </c>
      <c r="J109" s="17" t="n">
        <v>11500000</v>
      </c>
      <c r="K109" s="6" t="s">
        <v>493</v>
      </c>
      <c r="L109" s="6" t="s">
        <v>494</v>
      </c>
      <c r="M109" s="6" t="s">
        <v>722</v>
      </c>
    </row>
    <row r="110" customFormat="false" ht="23.85" hidden="false" customHeight="false" outlineLevel="0" collapsed="false">
      <c r="A110" s="6" t="s">
        <v>723</v>
      </c>
      <c r="B110" s="6" t="s">
        <v>75</v>
      </c>
      <c r="C110" s="6" t="s">
        <v>329</v>
      </c>
      <c r="D110" s="6" t="s">
        <v>328</v>
      </c>
      <c r="E110" s="6" t="s">
        <v>724</v>
      </c>
      <c r="F110" s="17" t="n">
        <v>600000000</v>
      </c>
      <c r="G110" s="8" t="str">
        <f aca="false">IFERROR(INDEX(Sub_Markets!$B$5:$B$77,MATCH(D110,Sub_Markets!$A$5:$A$77,0)),C110)</f>
        <v>P02</v>
      </c>
      <c r="H110" s="6" t="s">
        <v>473</v>
      </c>
      <c r="I110" s="8" t="str">
        <f aca="false">IF(C110=G110,"Yes","No")</f>
        <v>Yes</v>
      </c>
      <c r="J110" s="17" t="n">
        <v>690000000</v>
      </c>
      <c r="K110" s="6" t="s">
        <v>493</v>
      </c>
      <c r="L110" s="6" t="s">
        <v>494</v>
      </c>
      <c r="M110" s="6" t="s">
        <v>725</v>
      </c>
    </row>
    <row r="111" customFormat="false" ht="46.25" hidden="false" customHeight="false" outlineLevel="0" collapsed="false">
      <c r="A111" s="6" t="s">
        <v>726</v>
      </c>
      <c r="B111" s="6" t="s">
        <v>75</v>
      </c>
      <c r="C111" s="6" t="s">
        <v>329</v>
      </c>
      <c r="D111" s="6" t="s">
        <v>328</v>
      </c>
      <c r="E111" s="6" t="s">
        <v>727</v>
      </c>
      <c r="F111" s="17" t="n">
        <v>1500000000</v>
      </c>
      <c r="G111" s="8" t="str">
        <f aca="false">IFERROR(INDEX(Sub_Markets!$B$5:$B$77,MATCH(D111,Sub_Markets!$A$5:$A$77,0)),C111)</f>
        <v>P02</v>
      </c>
      <c r="H111" s="6" t="s">
        <v>473</v>
      </c>
      <c r="I111" s="8" t="str">
        <f aca="false">IF(C111=G111,"Yes","No")</f>
        <v>Yes</v>
      </c>
      <c r="J111" s="17" t="n">
        <v>1725000000</v>
      </c>
      <c r="K111" s="6" t="s">
        <v>493</v>
      </c>
      <c r="L111" s="6" t="s">
        <v>494</v>
      </c>
      <c r="M111" s="6" t="s">
        <v>728</v>
      </c>
    </row>
    <row r="112" customFormat="false" ht="46.25" hidden="false" customHeight="false" outlineLevel="0" collapsed="false">
      <c r="A112" s="6" t="s">
        <v>729</v>
      </c>
      <c r="B112" s="6" t="s">
        <v>54</v>
      </c>
      <c r="C112" s="6" t="s">
        <v>329</v>
      </c>
      <c r="D112" s="6" t="s">
        <v>328</v>
      </c>
      <c r="E112" s="6" t="s">
        <v>730</v>
      </c>
      <c r="F112" s="17" t="n">
        <v>22000000000</v>
      </c>
      <c r="G112" s="8" t="str">
        <f aca="false">IFERROR(INDEX(Sub_Markets!$B$5:$B$77,MATCH(D112,Sub_Markets!$A$5:$A$77,0)),C112)</f>
        <v>P02</v>
      </c>
      <c r="H112" s="6" t="s">
        <v>502</v>
      </c>
      <c r="I112" s="8" t="str">
        <f aca="false">IF(C112=G112,"Yes","No")</f>
        <v>Yes</v>
      </c>
      <c r="J112" s="17" t="n">
        <v>22000000000</v>
      </c>
      <c r="K112" s="6" t="s">
        <v>503</v>
      </c>
      <c r="L112" s="6" t="s">
        <v>685</v>
      </c>
      <c r="M112" s="6" t="s">
        <v>731</v>
      </c>
    </row>
    <row r="113" customFormat="false" ht="23.85" hidden="false" customHeight="false" outlineLevel="0" collapsed="false">
      <c r="A113" s="6" t="s">
        <v>732</v>
      </c>
      <c r="B113" s="6" t="s">
        <v>45</v>
      </c>
      <c r="C113" s="6" t="s">
        <v>141</v>
      </c>
      <c r="D113" s="6" t="s">
        <v>152</v>
      </c>
      <c r="E113" s="6" t="s">
        <v>733</v>
      </c>
      <c r="F113" s="17" t="n">
        <v>24400000</v>
      </c>
      <c r="G113" s="8" t="str">
        <f aca="false">IFERROR(INDEX(Sub_Markets!$B$5:$B$77,MATCH(D113,Sub_Markets!$A$5:$A$77,0)),C113)</f>
        <v>W02</v>
      </c>
      <c r="H113" s="6" t="s">
        <v>535</v>
      </c>
      <c r="I113" s="8" t="str">
        <f aca="false">IF(C113=G113,"Yes","No")</f>
        <v>Yes</v>
      </c>
      <c r="J113" s="17" t="n">
        <v>17568000</v>
      </c>
      <c r="K113" s="6" t="s">
        <v>448</v>
      </c>
      <c r="L113" s="6" t="s">
        <v>449</v>
      </c>
      <c r="M113" s="6" t="s">
        <v>536</v>
      </c>
    </row>
    <row r="114" customFormat="false" ht="35.05" hidden="false" customHeight="false" outlineLevel="0" collapsed="false">
      <c r="A114" s="6" t="s">
        <v>734</v>
      </c>
      <c r="B114" s="6" t="s">
        <v>45</v>
      </c>
      <c r="C114" s="6" t="s">
        <v>141</v>
      </c>
      <c r="D114" s="6" t="s">
        <v>158</v>
      </c>
      <c r="E114" s="6" t="s">
        <v>735</v>
      </c>
      <c r="F114" s="17" t="n">
        <v>31000000</v>
      </c>
      <c r="G114" s="8" t="str">
        <f aca="false">IFERROR(INDEX(Sub_Markets!$B$5:$B$77,MATCH(D114,Sub_Markets!$A$5:$A$77,0)),C114)</f>
        <v>W02</v>
      </c>
      <c r="H114" s="6" t="s">
        <v>535</v>
      </c>
      <c r="I114" s="8" t="str">
        <f aca="false">IF(C114=G114,"Yes","No")</f>
        <v>Yes</v>
      </c>
      <c r="J114" s="17" t="n">
        <v>22320000</v>
      </c>
      <c r="K114" s="6" t="s">
        <v>448</v>
      </c>
      <c r="L114" s="6" t="s">
        <v>449</v>
      </c>
      <c r="M114" s="6" t="s">
        <v>637</v>
      </c>
    </row>
    <row r="115" customFormat="false" ht="23.85" hidden="false" customHeight="false" outlineLevel="0" collapsed="false">
      <c r="A115" s="6" t="s">
        <v>736</v>
      </c>
      <c r="B115" s="6" t="s">
        <v>60</v>
      </c>
      <c r="C115" s="6" t="s">
        <v>121</v>
      </c>
      <c r="D115" s="6" t="s">
        <v>125</v>
      </c>
      <c r="E115" s="6" t="s">
        <v>737</v>
      </c>
      <c r="F115" s="17" t="n">
        <v>180000000</v>
      </c>
      <c r="G115" s="8" t="str">
        <f aca="false">IFERROR(INDEX(Sub_Markets!$B$5:$B$77,MATCH(D115,Sub_Markets!$A$5:$A$77,0)),C115)</f>
        <v>W01</v>
      </c>
      <c r="H115" s="6" t="s">
        <v>473</v>
      </c>
      <c r="I115" s="8" t="str">
        <f aca="false">IF(C115=G115,"Yes","No")</f>
        <v>Yes</v>
      </c>
      <c r="J115" s="17" t="n">
        <v>207000000</v>
      </c>
      <c r="K115" s="6" t="s">
        <v>493</v>
      </c>
      <c r="L115" s="6" t="s">
        <v>494</v>
      </c>
      <c r="M115" s="6" t="s">
        <v>738</v>
      </c>
    </row>
    <row r="116" customFormat="false" ht="23.85" hidden="false" customHeight="false" outlineLevel="0" collapsed="false">
      <c r="A116" s="6" t="s">
        <v>739</v>
      </c>
      <c r="B116" s="6" t="s">
        <v>60</v>
      </c>
      <c r="C116" s="6" t="s">
        <v>121</v>
      </c>
      <c r="D116" s="6" t="s">
        <v>131</v>
      </c>
      <c r="E116" s="6" t="s">
        <v>740</v>
      </c>
      <c r="F116" s="17" t="n">
        <v>30000000</v>
      </c>
      <c r="G116" s="8" t="str">
        <f aca="false">IFERROR(INDEX(Sub_Markets!$B$5:$B$77,MATCH(D116,Sub_Markets!$A$5:$A$77,0)),C116)</f>
        <v>W01</v>
      </c>
      <c r="H116" s="6" t="s">
        <v>473</v>
      </c>
      <c r="I116" s="8" t="str">
        <f aca="false">IF(C116=G116,"Yes","No")</f>
        <v>Yes</v>
      </c>
      <c r="J116" s="17" t="n">
        <v>34500000</v>
      </c>
      <c r="K116" s="6" t="s">
        <v>448</v>
      </c>
      <c r="L116" s="6" t="s">
        <v>449</v>
      </c>
      <c r="M116" s="6" t="s">
        <v>738</v>
      </c>
    </row>
    <row r="117" customFormat="false" ht="23.85" hidden="false" customHeight="false" outlineLevel="0" collapsed="false">
      <c r="A117" s="6" t="s">
        <v>741</v>
      </c>
      <c r="B117" s="6" t="s">
        <v>60</v>
      </c>
      <c r="C117" s="6" t="s">
        <v>121</v>
      </c>
      <c r="D117" s="6" t="s">
        <v>131</v>
      </c>
      <c r="E117" s="6" t="s">
        <v>742</v>
      </c>
      <c r="F117" s="17" t="n">
        <v>6000000000</v>
      </c>
      <c r="G117" s="8" t="str">
        <f aca="false">IFERROR(INDEX(Sub_Markets!$B$5:$B$77,MATCH(D117,Sub_Markets!$A$5:$A$77,0)),C117)</f>
        <v>W01</v>
      </c>
      <c r="H117" s="6" t="s">
        <v>473</v>
      </c>
      <c r="I117" s="8" t="str">
        <f aca="false">IF(C117=G117,"Yes","No")</f>
        <v>Yes</v>
      </c>
      <c r="J117" s="17" t="n">
        <v>6900000000</v>
      </c>
      <c r="K117" s="6" t="s">
        <v>448</v>
      </c>
      <c r="L117" s="6" t="s">
        <v>743</v>
      </c>
      <c r="M117" s="6" t="s">
        <v>738</v>
      </c>
    </row>
    <row r="118" customFormat="false" ht="15" hidden="false" customHeight="false" outlineLevel="0" collapsed="false">
      <c r="A118" s="6" t="s">
        <v>744</v>
      </c>
      <c r="B118" s="6" t="s">
        <v>60</v>
      </c>
      <c r="C118" s="6" t="s">
        <v>141</v>
      </c>
      <c r="D118" s="6" t="s">
        <v>152</v>
      </c>
      <c r="E118" s="6" t="s">
        <v>745</v>
      </c>
      <c r="F118" s="17" t="n">
        <v>475000000</v>
      </c>
      <c r="G118" s="8" t="str">
        <f aca="false">IFERROR(INDEX(Sub_Markets!$B$5:$B$77,MATCH(D118,Sub_Markets!$A$5:$A$77,0)),C118)</f>
        <v>W02</v>
      </c>
      <c r="H118" s="6" t="s">
        <v>473</v>
      </c>
      <c r="I118" s="8" t="str">
        <f aca="false">IF(C118=G118,"Yes","No")</f>
        <v>Yes</v>
      </c>
      <c r="J118" s="17" t="n">
        <v>546250000</v>
      </c>
      <c r="K118" s="6" t="s">
        <v>448</v>
      </c>
      <c r="L118" s="6" t="s">
        <v>743</v>
      </c>
      <c r="M118" s="6" t="s">
        <v>746</v>
      </c>
    </row>
    <row r="119" customFormat="false" ht="23.85" hidden="false" customHeight="false" outlineLevel="0" collapsed="false">
      <c r="A119" s="6" t="s">
        <v>747</v>
      </c>
      <c r="B119" s="6" t="s">
        <v>63</v>
      </c>
      <c r="C119" s="6" t="s">
        <v>121</v>
      </c>
      <c r="D119" s="6" t="s">
        <v>120</v>
      </c>
      <c r="E119" s="6" t="s">
        <v>748</v>
      </c>
      <c r="F119" s="17" t="n">
        <v>5070000000</v>
      </c>
      <c r="G119" s="8" t="str">
        <f aca="false">IFERROR(INDEX(Sub_Markets!$B$5:$B$77,MATCH(D119,Sub_Markets!$A$5:$A$77,0)),C119)</f>
        <v>W01</v>
      </c>
      <c r="H119" s="6" t="s">
        <v>473</v>
      </c>
      <c r="I119" s="8" t="str">
        <f aca="false">IF(C119=G119,"Yes","No")</f>
        <v>Yes</v>
      </c>
      <c r="J119" s="17" t="n">
        <v>5830500000</v>
      </c>
      <c r="K119" s="6" t="s">
        <v>443</v>
      </c>
      <c r="L119" s="6" t="s">
        <v>444</v>
      </c>
      <c r="M119" s="6" t="s">
        <v>749</v>
      </c>
    </row>
    <row r="120" customFormat="false" ht="23.85" hidden="false" customHeight="false" outlineLevel="0" collapsed="false">
      <c r="A120" s="6" t="s">
        <v>750</v>
      </c>
      <c r="B120" s="6" t="s">
        <v>63</v>
      </c>
      <c r="C120" s="6" t="s">
        <v>121</v>
      </c>
      <c r="D120" s="6" t="s">
        <v>131</v>
      </c>
      <c r="E120" s="6" t="s">
        <v>751</v>
      </c>
      <c r="F120" s="17" t="n">
        <v>3060000000</v>
      </c>
      <c r="G120" s="8" t="str">
        <f aca="false">IFERROR(INDEX(Sub_Markets!$B$5:$B$77,MATCH(D120,Sub_Markets!$A$5:$A$77,0)),C120)</f>
        <v>W01</v>
      </c>
      <c r="H120" s="6" t="s">
        <v>473</v>
      </c>
      <c r="I120" s="8" t="str">
        <f aca="false">IF(C120=G120,"Yes","No")</f>
        <v>Yes</v>
      </c>
      <c r="J120" s="17" t="n">
        <v>3519000000</v>
      </c>
      <c r="K120" s="6" t="s">
        <v>443</v>
      </c>
      <c r="L120" s="6" t="s">
        <v>444</v>
      </c>
      <c r="M120" s="6" t="s">
        <v>749</v>
      </c>
    </row>
    <row r="121" customFormat="false" ht="23.85" hidden="false" customHeight="false" outlineLevel="0" collapsed="false">
      <c r="A121" s="6" t="s">
        <v>752</v>
      </c>
      <c r="B121" s="6" t="s">
        <v>63</v>
      </c>
      <c r="C121" s="6" t="s">
        <v>141</v>
      </c>
      <c r="D121" s="6" t="s">
        <v>140</v>
      </c>
      <c r="E121" s="6" t="s">
        <v>753</v>
      </c>
      <c r="F121" s="17" t="n">
        <v>6643000000</v>
      </c>
      <c r="G121" s="8" t="str">
        <f aca="false">IFERROR(INDEX(Sub_Markets!$B$5:$B$77,MATCH(D121,Sub_Markets!$A$5:$A$77,0)),C121)</f>
        <v>W02</v>
      </c>
      <c r="H121" s="6" t="s">
        <v>473</v>
      </c>
      <c r="I121" s="8" t="str">
        <f aca="false">IF(C121=G121,"Yes","No")</f>
        <v>Yes</v>
      </c>
      <c r="J121" s="17" t="n">
        <v>7639450000</v>
      </c>
      <c r="K121" s="6" t="s">
        <v>443</v>
      </c>
      <c r="L121" s="6" t="s">
        <v>444</v>
      </c>
      <c r="M121" s="6" t="s">
        <v>749</v>
      </c>
    </row>
    <row r="122" customFormat="false" ht="23.85" hidden="false" customHeight="false" outlineLevel="0" collapsed="false">
      <c r="A122" s="6" t="s">
        <v>754</v>
      </c>
      <c r="B122" s="6" t="s">
        <v>63</v>
      </c>
      <c r="C122" s="6" t="s">
        <v>141</v>
      </c>
      <c r="D122" s="6" t="s">
        <v>145</v>
      </c>
      <c r="E122" s="6" t="s">
        <v>755</v>
      </c>
      <c r="F122" s="17" t="n">
        <v>1270000000</v>
      </c>
      <c r="G122" s="8" t="str">
        <f aca="false">IFERROR(INDEX(Sub_Markets!$B$5:$B$77,MATCH(D122,Sub_Markets!$A$5:$A$77,0)),C122)</f>
        <v>W02</v>
      </c>
      <c r="H122" s="6" t="s">
        <v>473</v>
      </c>
      <c r="I122" s="8" t="str">
        <f aca="false">IF(C122=G122,"Yes","No")</f>
        <v>Yes</v>
      </c>
      <c r="J122" s="17" t="n">
        <v>1460500000</v>
      </c>
      <c r="K122" s="6" t="s">
        <v>443</v>
      </c>
      <c r="L122" s="6" t="s">
        <v>444</v>
      </c>
      <c r="M122" s="6" t="s">
        <v>749</v>
      </c>
    </row>
    <row r="123" customFormat="false" ht="23.85" hidden="false" customHeight="false" outlineLevel="0" collapsed="false">
      <c r="A123" s="6" t="s">
        <v>756</v>
      </c>
      <c r="B123" s="6" t="s">
        <v>63</v>
      </c>
      <c r="C123" s="6" t="s">
        <v>162</v>
      </c>
      <c r="D123" s="6" t="s">
        <v>161</v>
      </c>
      <c r="E123" s="6" t="s">
        <v>757</v>
      </c>
      <c r="F123" s="17" t="n">
        <v>2260000000</v>
      </c>
      <c r="G123" s="8" t="str">
        <f aca="false">IFERROR(INDEX(Sub_Markets!$B$5:$B$77,MATCH(D123,Sub_Markets!$A$5:$A$77,0)),C123)</f>
        <v>W03</v>
      </c>
      <c r="H123" s="6" t="s">
        <v>473</v>
      </c>
      <c r="I123" s="8" t="str">
        <f aca="false">IF(C123=G123,"Yes","No")</f>
        <v>Yes</v>
      </c>
      <c r="J123" s="17" t="n">
        <v>2599000000</v>
      </c>
      <c r="K123" s="6" t="s">
        <v>443</v>
      </c>
      <c r="L123" s="6" t="s">
        <v>444</v>
      </c>
      <c r="M123" s="6" t="s">
        <v>749</v>
      </c>
    </row>
    <row r="124" customFormat="false" ht="23.85" hidden="false" customHeight="false" outlineLevel="0" collapsed="false">
      <c r="A124" s="6" t="s">
        <v>758</v>
      </c>
      <c r="B124" s="6" t="s">
        <v>63</v>
      </c>
      <c r="C124" s="6" t="s">
        <v>296</v>
      </c>
      <c r="D124" s="6" t="s">
        <v>305</v>
      </c>
      <c r="E124" s="6" t="s">
        <v>759</v>
      </c>
      <c r="F124" s="17" t="n">
        <v>2077000000</v>
      </c>
      <c r="G124" s="8" t="str">
        <f aca="false">IFERROR(INDEX(Sub_Markets!$B$5:$B$77,MATCH(D124,Sub_Markets!$A$5:$A$77,0)),C124)</f>
        <v>DM02</v>
      </c>
      <c r="H124" s="6" t="s">
        <v>473</v>
      </c>
      <c r="I124" s="8" t="str">
        <f aca="false">IF(C124=G124,"Yes","No")</f>
        <v>Yes</v>
      </c>
      <c r="J124" s="17" t="n">
        <v>2388550000</v>
      </c>
      <c r="K124" s="6" t="s">
        <v>443</v>
      </c>
      <c r="L124" s="6" t="s">
        <v>444</v>
      </c>
      <c r="M124" s="6" t="s">
        <v>749</v>
      </c>
    </row>
    <row r="125" customFormat="false" ht="15" hidden="false" customHeight="false" outlineLevel="0" collapsed="false">
      <c r="A125" s="6" t="s">
        <v>760</v>
      </c>
      <c r="B125" s="6" t="s">
        <v>66</v>
      </c>
      <c r="C125" s="6" t="s">
        <v>121</v>
      </c>
      <c r="D125" s="6" t="s">
        <v>125</v>
      </c>
      <c r="E125" s="6" t="s">
        <v>761</v>
      </c>
      <c r="F125" s="17" t="n">
        <v>6000000000</v>
      </c>
      <c r="G125" s="8" t="str">
        <f aca="false">IFERROR(INDEX(Sub_Markets!$B$5:$B$77,MATCH(D125,Sub_Markets!$A$5:$A$77,0)),C125)</f>
        <v>W01</v>
      </c>
      <c r="H125" s="6" t="s">
        <v>473</v>
      </c>
      <c r="I125" s="8" t="str">
        <f aca="false">IF(C125=G125,"Yes","No")</f>
        <v>Yes</v>
      </c>
      <c r="J125" s="17" t="n">
        <v>6900000000</v>
      </c>
      <c r="K125" s="6" t="s">
        <v>493</v>
      </c>
      <c r="L125" s="6" t="s">
        <v>494</v>
      </c>
      <c r="M125" s="6" t="s">
        <v>762</v>
      </c>
    </row>
    <row r="126" customFormat="false" ht="35.05" hidden="false" customHeight="false" outlineLevel="0" collapsed="false">
      <c r="A126" s="6" t="s">
        <v>763</v>
      </c>
      <c r="B126" s="6" t="s">
        <v>66</v>
      </c>
      <c r="C126" s="6" t="s">
        <v>141</v>
      </c>
      <c r="D126" s="6" t="s">
        <v>158</v>
      </c>
      <c r="E126" s="6" t="s">
        <v>764</v>
      </c>
      <c r="F126" s="17" t="n">
        <v>4000000000</v>
      </c>
      <c r="G126" s="8" t="str">
        <f aca="false">IFERROR(INDEX(Sub_Markets!$B$5:$B$77,MATCH(D126,Sub_Markets!$A$5:$A$77,0)),C126)</f>
        <v>W02</v>
      </c>
      <c r="H126" s="6" t="s">
        <v>473</v>
      </c>
      <c r="I126" s="8" t="str">
        <f aca="false">IF(C126=G126,"Yes","No")</f>
        <v>Yes</v>
      </c>
      <c r="J126" s="17" t="n">
        <v>4600000000</v>
      </c>
      <c r="K126" s="6" t="s">
        <v>448</v>
      </c>
      <c r="L126" s="6" t="s">
        <v>449</v>
      </c>
      <c r="M126" s="6" t="s">
        <v>765</v>
      </c>
    </row>
    <row r="127" customFormat="false" ht="23.85" hidden="false" customHeight="false" outlineLevel="0" collapsed="false">
      <c r="A127" s="6" t="s">
        <v>766</v>
      </c>
      <c r="B127" s="6" t="s">
        <v>68</v>
      </c>
      <c r="C127" s="6" t="s">
        <v>141</v>
      </c>
      <c r="D127" s="6" t="s">
        <v>158</v>
      </c>
      <c r="E127" s="6" t="s">
        <v>767</v>
      </c>
      <c r="F127" s="17" t="n">
        <v>108000000</v>
      </c>
      <c r="G127" s="8" t="str">
        <f aca="false">IFERROR(INDEX(Sub_Markets!$B$5:$B$77,MATCH(D127,Sub_Markets!$A$5:$A$77,0)),C127)</f>
        <v>W02</v>
      </c>
      <c r="H127" s="6" t="s">
        <v>473</v>
      </c>
      <c r="I127" s="8" t="str">
        <f aca="false">IF(C127=G127,"Yes","No")</f>
        <v>Yes</v>
      </c>
      <c r="J127" s="17" t="n">
        <v>124200000</v>
      </c>
      <c r="K127" s="6" t="s">
        <v>448</v>
      </c>
      <c r="L127" s="6" t="s">
        <v>449</v>
      </c>
      <c r="M127" s="6" t="s">
        <v>445</v>
      </c>
    </row>
    <row r="128" customFormat="false" ht="15" hidden="false" customHeight="false" outlineLevel="0" collapsed="false">
      <c r="A128" s="6" t="s">
        <v>768</v>
      </c>
      <c r="B128" s="6" t="s">
        <v>68</v>
      </c>
      <c r="C128" s="6" t="s">
        <v>121</v>
      </c>
      <c r="D128" s="6" t="s">
        <v>131</v>
      </c>
      <c r="E128" s="6" t="s">
        <v>769</v>
      </c>
      <c r="F128" s="17" t="n">
        <v>12200000000</v>
      </c>
      <c r="G128" s="8" t="str">
        <f aca="false">IFERROR(INDEX(Sub_Markets!$B$5:$B$77,MATCH(D128,Sub_Markets!$A$5:$A$77,0)),C128)</f>
        <v>W01</v>
      </c>
      <c r="H128" s="6" t="s">
        <v>473</v>
      </c>
      <c r="I128" s="8" t="str">
        <f aca="false">IF(C128=G128,"Yes","No")</f>
        <v>Yes</v>
      </c>
      <c r="J128" s="17" t="n">
        <v>14030000000</v>
      </c>
      <c r="K128" s="6" t="s">
        <v>493</v>
      </c>
      <c r="L128" s="6" t="s">
        <v>494</v>
      </c>
      <c r="M128" s="6" t="s">
        <v>770</v>
      </c>
    </row>
    <row r="129" customFormat="false" ht="15" hidden="false" customHeight="false" outlineLevel="0" collapsed="false">
      <c r="A129" s="6" t="s">
        <v>771</v>
      </c>
      <c r="B129" s="6" t="s">
        <v>68</v>
      </c>
      <c r="C129" s="6" t="s">
        <v>121</v>
      </c>
      <c r="D129" s="6" t="s">
        <v>131</v>
      </c>
      <c r="E129" s="6" t="s">
        <v>772</v>
      </c>
      <c r="F129" s="17" t="n">
        <v>73000000</v>
      </c>
      <c r="G129" s="8" t="str">
        <f aca="false">IFERROR(INDEX(Sub_Markets!$B$5:$B$77,MATCH(D129,Sub_Markets!$A$5:$A$77,0)),C129)</f>
        <v>W01</v>
      </c>
      <c r="H129" s="6" t="s">
        <v>473</v>
      </c>
      <c r="I129" s="8" t="str">
        <f aca="false">IF(C129=G129,"Yes","No")</f>
        <v>Yes</v>
      </c>
      <c r="J129" s="17" t="n">
        <v>83950000</v>
      </c>
      <c r="K129" s="6" t="s">
        <v>493</v>
      </c>
      <c r="L129" s="6" t="s">
        <v>494</v>
      </c>
      <c r="M129" s="6" t="s">
        <v>770</v>
      </c>
    </row>
    <row r="130" customFormat="false" ht="23.85" hidden="false" customHeight="false" outlineLevel="0" collapsed="false">
      <c r="A130" s="6" t="s">
        <v>773</v>
      </c>
      <c r="B130" s="6" t="s">
        <v>68</v>
      </c>
      <c r="C130" s="6" t="s">
        <v>141</v>
      </c>
      <c r="D130" s="6" t="s">
        <v>140</v>
      </c>
      <c r="E130" s="6" t="s">
        <v>774</v>
      </c>
      <c r="F130" s="17" t="n">
        <v>60000000</v>
      </c>
      <c r="G130" s="8" t="str">
        <f aca="false">IFERROR(INDEX(Sub_Markets!$B$5:$B$77,MATCH(D130,Sub_Markets!$A$5:$A$77,0)),C130)</f>
        <v>W02</v>
      </c>
      <c r="H130" s="6" t="s">
        <v>473</v>
      </c>
      <c r="I130" s="8" t="str">
        <f aca="false">IF(C130=G130,"Yes","No")</f>
        <v>Yes</v>
      </c>
      <c r="J130" s="17" t="n">
        <v>69000000</v>
      </c>
      <c r="K130" s="6" t="s">
        <v>448</v>
      </c>
      <c r="L130" s="6" t="s">
        <v>453</v>
      </c>
      <c r="M130" s="6" t="s">
        <v>445</v>
      </c>
    </row>
    <row r="131" customFormat="false" ht="23.85" hidden="false" customHeight="false" outlineLevel="0" collapsed="false">
      <c r="A131" s="6" t="s">
        <v>775</v>
      </c>
      <c r="B131" s="6" t="s">
        <v>68</v>
      </c>
      <c r="C131" s="6" t="s">
        <v>162</v>
      </c>
      <c r="D131" s="6" t="s">
        <v>161</v>
      </c>
      <c r="E131" s="6" t="s">
        <v>776</v>
      </c>
      <c r="F131" s="17" t="n">
        <v>1700000000</v>
      </c>
      <c r="G131" s="8" t="str">
        <f aca="false">IFERROR(INDEX(Sub_Markets!$B$5:$B$77,MATCH(D131,Sub_Markets!$A$5:$A$77,0)),C131)</f>
        <v>W03</v>
      </c>
      <c r="H131" s="6" t="s">
        <v>473</v>
      </c>
      <c r="I131" s="8" t="str">
        <f aca="false">IF(C131=G131,"Yes","No")</f>
        <v>Yes</v>
      </c>
      <c r="J131" s="17" t="n">
        <v>1955000000</v>
      </c>
      <c r="K131" s="6" t="s">
        <v>493</v>
      </c>
      <c r="L131" s="6" t="s">
        <v>494</v>
      </c>
      <c r="M131" s="6" t="s">
        <v>770</v>
      </c>
    </row>
    <row r="132" customFormat="false" ht="23.85" hidden="false" customHeight="false" outlineLevel="0" collapsed="false">
      <c r="A132" s="6" t="s">
        <v>777</v>
      </c>
      <c r="B132" s="6" t="s">
        <v>71</v>
      </c>
      <c r="C132" s="6" t="s">
        <v>162</v>
      </c>
      <c r="D132" s="6" t="s">
        <v>161</v>
      </c>
      <c r="E132" s="6" t="s">
        <v>778</v>
      </c>
      <c r="F132" s="17" t="n">
        <v>524000000</v>
      </c>
      <c r="G132" s="8" t="str">
        <f aca="false">IFERROR(INDEX(Sub_Markets!$B$5:$B$77,MATCH(D132,Sub_Markets!$A$5:$A$77,0)),C132)</f>
        <v>W03</v>
      </c>
      <c r="H132" s="6" t="s">
        <v>473</v>
      </c>
      <c r="I132" s="8" t="str">
        <f aca="false">IF(C132=G132,"Yes","No")</f>
        <v>Yes</v>
      </c>
      <c r="J132" s="17" t="n">
        <v>602600000</v>
      </c>
      <c r="K132" s="6" t="s">
        <v>493</v>
      </c>
      <c r="L132" s="6" t="s">
        <v>494</v>
      </c>
      <c r="M132" s="6" t="s">
        <v>779</v>
      </c>
    </row>
    <row r="133" customFormat="false" ht="23.85" hidden="false" customHeight="false" outlineLevel="0" collapsed="false">
      <c r="A133" s="6" t="s">
        <v>780</v>
      </c>
      <c r="B133" s="6" t="s">
        <v>71</v>
      </c>
      <c r="C133" s="6" t="s">
        <v>162</v>
      </c>
      <c r="D133" s="6" t="s">
        <v>161</v>
      </c>
      <c r="E133" s="6" t="s">
        <v>781</v>
      </c>
      <c r="F133" s="17" t="n">
        <v>5000000000</v>
      </c>
      <c r="G133" s="8" t="str">
        <f aca="false">IFERROR(INDEX(Sub_Markets!$B$5:$B$77,MATCH(D133,Sub_Markets!$A$5:$A$77,0)),C133)</f>
        <v>W03</v>
      </c>
      <c r="H133" s="6" t="s">
        <v>473</v>
      </c>
      <c r="I133" s="8" t="str">
        <f aca="false">IF(C133=G133,"Yes","No")</f>
        <v>Yes</v>
      </c>
      <c r="J133" s="17" t="n">
        <v>5750000000</v>
      </c>
      <c r="K133" s="6" t="s">
        <v>443</v>
      </c>
      <c r="L133" s="6" t="s">
        <v>494</v>
      </c>
      <c r="M133" s="6" t="s">
        <v>782</v>
      </c>
    </row>
    <row r="134" customFormat="false" ht="35.05" hidden="false" customHeight="false" outlineLevel="0" collapsed="false">
      <c r="A134" s="6" t="s">
        <v>783</v>
      </c>
      <c r="B134" s="6" t="s">
        <v>71</v>
      </c>
      <c r="C134" s="6" t="s">
        <v>141</v>
      </c>
      <c r="D134" s="6" t="s">
        <v>148</v>
      </c>
      <c r="E134" s="6" t="s">
        <v>784</v>
      </c>
      <c r="F134" s="17" t="n">
        <v>187000000</v>
      </c>
      <c r="G134" s="8" t="str">
        <f aca="false">IFERROR(INDEX(Sub_Markets!$B$5:$B$77,MATCH(D134,Sub_Markets!$A$5:$A$77,0)),C134)</f>
        <v>W02</v>
      </c>
      <c r="H134" s="6" t="s">
        <v>473</v>
      </c>
      <c r="I134" s="8" t="str">
        <f aca="false">IF(C134=G134,"Yes","No")</f>
        <v>Yes</v>
      </c>
      <c r="J134" s="17" t="n">
        <v>215050000</v>
      </c>
      <c r="K134" s="6" t="s">
        <v>503</v>
      </c>
      <c r="L134" s="6" t="s">
        <v>785</v>
      </c>
      <c r="M134" s="6" t="s">
        <v>786</v>
      </c>
    </row>
    <row r="135" customFormat="false" ht="35.05" hidden="false" customHeight="false" outlineLevel="0" collapsed="false">
      <c r="A135" s="6" t="s">
        <v>787</v>
      </c>
      <c r="B135" s="6" t="s">
        <v>75</v>
      </c>
      <c r="C135" s="6" t="s">
        <v>162</v>
      </c>
      <c r="D135" s="6" t="s">
        <v>161</v>
      </c>
      <c r="E135" s="6" t="s">
        <v>788</v>
      </c>
      <c r="F135" s="17" t="n">
        <v>40000000000</v>
      </c>
      <c r="G135" s="8" t="str">
        <f aca="false">IFERROR(INDEX(Sub_Markets!$B$5:$B$77,MATCH(D135,Sub_Markets!$A$5:$A$77,0)),C135)</f>
        <v>W03</v>
      </c>
      <c r="H135" s="6" t="s">
        <v>473</v>
      </c>
      <c r="I135" s="8" t="str">
        <f aca="false">IF(C135=G135,"Yes","No")</f>
        <v>Yes</v>
      </c>
      <c r="J135" s="17" t="n">
        <v>46000000000</v>
      </c>
      <c r="K135" s="6" t="s">
        <v>443</v>
      </c>
      <c r="L135" s="6" t="s">
        <v>494</v>
      </c>
      <c r="M135" s="6" t="s">
        <v>789</v>
      </c>
    </row>
    <row r="136" customFormat="false" ht="23.85" hidden="false" customHeight="false" outlineLevel="0" collapsed="false">
      <c r="A136" s="6" t="s">
        <v>790</v>
      </c>
      <c r="B136" s="6" t="s">
        <v>75</v>
      </c>
      <c r="C136" s="6" t="s">
        <v>162</v>
      </c>
      <c r="D136" s="6" t="s">
        <v>161</v>
      </c>
      <c r="E136" s="6" t="s">
        <v>791</v>
      </c>
      <c r="F136" s="17" t="n">
        <v>2000000000</v>
      </c>
      <c r="G136" s="8" t="str">
        <f aca="false">IFERROR(INDEX(Sub_Markets!$B$5:$B$77,MATCH(D136,Sub_Markets!$A$5:$A$77,0)),C136)</f>
        <v>W03</v>
      </c>
      <c r="H136" s="6" t="s">
        <v>473</v>
      </c>
      <c r="I136" s="8" t="str">
        <f aca="false">IF(C136=G136,"Yes","No")</f>
        <v>Yes</v>
      </c>
      <c r="J136" s="17" t="n">
        <v>2300000000</v>
      </c>
      <c r="K136" s="6" t="s">
        <v>493</v>
      </c>
      <c r="L136" s="6" t="s">
        <v>494</v>
      </c>
      <c r="M136" s="6" t="s">
        <v>792</v>
      </c>
    </row>
    <row r="137" customFormat="false" ht="57.45" hidden="false" customHeight="false" outlineLevel="0" collapsed="false">
      <c r="A137" s="6" t="s">
        <v>793</v>
      </c>
      <c r="B137" s="6" t="s">
        <v>75</v>
      </c>
      <c r="C137" s="6" t="s">
        <v>141</v>
      </c>
      <c r="D137" s="6" t="s">
        <v>152</v>
      </c>
      <c r="E137" s="6" t="s">
        <v>794</v>
      </c>
      <c r="F137" s="17" t="n">
        <v>400000000</v>
      </c>
      <c r="G137" s="8" t="str">
        <f aca="false">IFERROR(INDEX(Sub_Markets!$B$5:$B$77,MATCH(D137,Sub_Markets!$A$5:$A$77,0)),C137)</f>
        <v>W02</v>
      </c>
      <c r="H137" s="6" t="s">
        <v>473</v>
      </c>
      <c r="I137" s="8" t="str">
        <f aca="false">IF(C137=G137,"Yes","No")</f>
        <v>Yes</v>
      </c>
      <c r="J137" s="17" t="n">
        <v>460000000</v>
      </c>
      <c r="K137" s="6" t="s">
        <v>448</v>
      </c>
      <c r="L137" s="6" t="s">
        <v>449</v>
      </c>
      <c r="M137" s="6" t="s">
        <v>795</v>
      </c>
    </row>
    <row r="138" customFormat="false" ht="35.05" hidden="false" customHeight="false" outlineLevel="0" collapsed="false">
      <c r="A138" s="6" t="s">
        <v>796</v>
      </c>
      <c r="B138" s="6" t="s">
        <v>75</v>
      </c>
      <c r="C138" s="6" t="s">
        <v>121</v>
      </c>
      <c r="D138" s="6" t="s">
        <v>131</v>
      </c>
      <c r="E138" s="6" t="s">
        <v>797</v>
      </c>
      <c r="F138" s="17" t="n">
        <v>1920000000</v>
      </c>
      <c r="G138" s="8" t="str">
        <f aca="false">IFERROR(INDEX(Sub_Markets!$B$5:$B$77,MATCH(D138,Sub_Markets!$A$5:$A$77,0)),C138)</f>
        <v>W01</v>
      </c>
      <c r="H138" s="6" t="s">
        <v>473</v>
      </c>
      <c r="I138" s="8" t="str">
        <f aca="false">IF(C138=G138,"Yes","No")</f>
        <v>Yes</v>
      </c>
      <c r="J138" s="17" t="n">
        <v>2208000000</v>
      </c>
      <c r="K138" s="6" t="s">
        <v>493</v>
      </c>
      <c r="L138" s="6" t="s">
        <v>494</v>
      </c>
      <c r="M138" s="6" t="s">
        <v>798</v>
      </c>
    </row>
    <row r="139" customFormat="false" ht="23.85" hidden="false" customHeight="false" outlineLevel="0" collapsed="false">
      <c r="A139" s="6" t="s">
        <v>799</v>
      </c>
      <c r="B139" s="6" t="s">
        <v>49</v>
      </c>
      <c r="C139" s="6" t="s">
        <v>162</v>
      </c>
      <c r="D139" s="6" t="s">
        <v>161</v>
      </c>
      <c r="E139" s="6" t="s">
        <v>800</v>
      </c>
      <c r="F139" s="17" t="n">
        <v>22000000000</v>
      </c>
      <c r="G139" s="8" t="str">
        <f aca="false">IFERROR(INDEX(Sub_Markets!$B$5:$B$77,MATCH(D139,Sub_Markets!$A$5:$A$77,0)),C139)</f>
        <v>W03</v>
      </c>
      <c r="H139" s="6" t="s">
        <v>502</v>
      </c>
      <c r="I139" s="8" t="str">
        <f aca="false">IF(C139=G139,"Yes","No")</f>
        <v>Yes</v>
      </c>
      <c r="J139" s="17" t="n">
        <v>22000000000</v>
      </c>
      <c r="K139" s="6" t="s">
        <v>443</v>
      </c>
      <c r="L139" s="6" t="s">
        <v>494</v>
      </c>
      <c r="M139" s="6" t="s">
        <v>801</v>
      </c>
    </row>
    <row r="140" customFormat="false" ht="35.05" hidden="false" customHeight="false" outlineLevel="0" collapsed="false">
      <c r="A140" s="6" t="s">
        <v>802</v>
      </c>
      <c r="B140" s="6" t="s">
        <v>57</v>
      </c>
      <c r="C140" s="6" t="s">
        <v>141</v>
      </c>
      <c r="D140" s="6" t="s">
        <v>148</v>
      </c>
      <c r="E140" s="6" t="s">
        <v>803</v>
      </c>
      <c r="F140" s="17" t="n">
        <v>9300000000</v>
      </c>
      <c r="G140" s="8" t="str">
        <f aca="false">IFERROR(INDEX(Sub_Markets!$B$5:$B$77,MATCH(D140,Sub_Markets!$A$5:$A$77,0)),C140)</f>
        <v>W02</v>
      </c>
      <c r="H140" s="6" t="s">
        <v>502</v>
      </c>
      <c r="I140" s="8" t="str">
        <f aca="false">IF(C140=G140,"Yes","No")</f>
        <v>Yes</v>
      </c>
      <c r="J140" s="17" t="n">
        <v>9300000000</v>
      </c>
      <c r="K140" s="6" t="s">
        <v>443</v>
      </c>
      <c r="L140" s="6" t="s">
        <v>494</v>
      </c>
      <c r="M140" s="6" t="s">
        <v>804</v>
      </c>
    </row>
    <row r="141" customFormat="false" ht="23.85" hidden="false" customHeight="false" outlineLevel="0" collapsed="false">
      <c r="A141" s="6" t="s">
        <v>805</v>
      </c>
      <c r="B141" s="6" t="s">
        <v>57</v>
      </c>
      <c r="C141" s="6" t="s">
        <v>162</v>
      </c>
      <c r="D141" s="6" t="s">
        <v>161</v>
      </c>
      <c r="E141" s="6" t="s">
        <v>806</v>
      </c>
      <c r="F141" s="17" t="n">
        <v>2000000000</v>
      </c>
      <c r="G141" s="8" t="str">
        <f aca="false">IFERROR(INDEX(Sub_Markets!$B$5:$B$77,MATCH(D141,Sub_Markets!$A$5:$A$77,0)),C141)</f>
        <v>W03</v>
      </c>
      <c r="H141" s="6" t="s">
        <v>502</v>
      </c>
      <c r="I141" s="8" t="str">
        <f aca="false">IF(C141=G141,"Yes","No")</f>
        <v>Yes</v>
      </c>
      <c r="J141" s="17" t="n">
        <v>2000000000</v>
      </c>
      <c r="K141" s="6" t="s">
        <v>448</v>
      </c>
      <c r="L141" s="6" t="s">
        <v>449</v>
      </c>
      <c r="M141" s="6" t="s">
        <v>807</v>
      </c>
    </row>
    <row r="142" customFormat="false" ht="23.85" hidden="false" customHeight="false" outlineLevel="0" collapsed="false">
      <c r="A142" s="6" t="s">
        <v>808</v>
      </c>
      <c r="B142" s="6" t="s">
        <v>21</v>
      </c>
      <c r="C142" s="6" t="s">
        <v>175</v>
      </c>
      <c r="D142" s="6" t="s">
        <v>181</v>
      </c>
      <c r="E142" s="6" t="s">
        <v>809</v>
      </c>
      <c r="F142" s="17" t="n">
        <v>816000000</v>
      </c>
      <c r="G142" s="8" t="str">
        <f aca="false">IFERROR(INDEX(Sub_Markets!$B$5:$B$77,MATCH(D142,Sub_Markets!$A$5:$A$77,0)),C142)</f>
        <v>AFF01</v>
      </c>
      <c r="H142" s="6" t="s">
        <v>110</v>
      </c>
      <c r="I142" s="8" t="str">
        <f aca="false">IF(C142=G142,"Yes","No")</f>
        <v>Yes</v>
      </c>
      <c r="J142" s="17" t="n">
        <v>1077120000</v>
      </c>
      <c r="K142" s="6" t="s">
        <v>448</v>
      </c>
      <c r="L142" s="6" t="s">
        <v>449</v>
      </c>
      <c r="M142" s="6" t="s">
        <v>445</v>
      </c>
    </row>
    <row r="143" customFormat="false" ht="35.05" hidden="false" customHeight="false" outlineLevel="0" collapsed="false">
      <c r="A143" s="6" t="s">
        <v>810</v>
      </c>
      <c r="B143" s="6" t="s">
        <v>21</v>
      </c>
      <c r="C143" s="6" t="s">
        <v>175</v>
      </c>
      <c r="D143" s="6" t="s">
        <v>174</v>
      </c>
      <c r="E143" s="6" t="s">
        <v>811</v>
      </c>
      <c r="F143" s="17" t="n">
        <v>1000000000</v>
      </c>
      <c r="G143" s="8" t="str">
        <f aca="false">IFERROR(INDEX(Sub_Markets!$B$5:$B$77,MATCH(D143,Sub_Markets!$A$5:$A$77,0)),C143)</f>
        <v>AFF01</v>
      </c>
      <c r="H143" s="6" t="s">
        <v>110</v>
      </c>
      <c r="I143" s="8" t="str">
        <f aca="false">IF(C143=G143,"Yes","No")</f>
        <v>Yes</v>
      </c>
      <c r="J143" s="17" t="n">
        <v>1320000000</v>
      </c>
      <c r="K143" s="6" t="s">
        <v>448</v>
      </c>
      <c r="L143" s="6" t="s">
        <v>449</v>
      </c>
      <c r="M143" s="6" t="s">
        <v>445</v>
      </c>
    </row>
    <row r="144" customFormat="false" ht="23.85" hidden="false" customHeight="false" outlineLevel="0" collapsed="false">
      <c r="A144" s="6" t="s">
        <v>812</v>
      </c>
      <c r="B144" s="6" t="s">
        <v>21</v>
      </c>
      <c r="C144" s="6" t="s">
        <v>112</v>
      </c>
      <c r="D144" s="6" t="s">
        <v>194</v>
      </c>
      <c r="E144" s="6" t="s">
        <v>813</v>
      </c>
      <c r="F144" s="17" t="n">
        <v>2700000000</v>
      </c>
      <c r="G144" s="8" t="str">
        <f aca="false">IFERROR(INDEX(Sub_Markets!$B$5:$B$77,MATCH(D144,Sub_Markets!$A$5:$A$77,0)),C144)</f>
        <v>AFF02</v>
      </c>
      <c r="H144" s="6" t="s">
        <v>110</v>
      </c>
      <c r="I144" s="8" t="str">
        <f aca="false">IF(C144=G144,"Yes","No")</f>
        <v>Yes</v>
      </c>
      <c r="J144" s="17" t="n">
        <v>3564000000</v>
      </c>
      <c r="K144" s="6" t="s">
        <v>448</v>
      </c>
      <c r="L144" s="6" t="s">
        <v>449</v>
      </c>
      <c r="M144" s="6" t="s">
        <v>445</v>
      </c>
    </row>
    <row r="145" customFormat="false" ht="15" hidden="false" customHeight="false" outlineLevel="0" collapsed="false">
      <c r="A145" s="6" t="s">
        <v>814</v>
      </c>
      <c r="B145" s="6" t="s">
        <v>21</v>
      </c>
      <c r="C145" s="6" t="s">
        <v>112</v>
      </c>
      <c r="D145" s="6" t="s">
        <v>194</v>
      </c>
      <c r="E145" s="6" t="s">
        <v>815</v>
      </c>
      <c r="F145" s="17" t="n">
        <v>2300000000</v>
      </c>
      <c r="G145" s="8" t="str">
        <f aca="false">IFERROR(INDEX(Sub_Markets!$B$5:$B$77,MATCH(D145,Sub_Markets!$A$5:$A$77,0)),C145)</f>
        <v>AFF02</v>
      </c>
      <c r="H145" s="6" t="s">
        <v>110</v>
      </c>
      <c r="I145" s="8" t="str">
        <f aca="false">IF(C145=G145,"Yes","No")</f>
        <v>Yes</v>
      </c>
      <c r="J145" s="17" t="n">
        <v>3036000000</v>
      </c>
      <c r="K145" s="6" t="s">
        <v>448</v>
      </c>
      <c r="L145" s="6" t="s">
        <v>449</v>
      </c>
      <c r="M145" s="6" t="s">
        <v>445</v>
      </c>
    </row>
    <row r="146" customFormat="false" ht="23.85" hidden="false" customHeight="false" outlineLevel="0" collapsed="false">
      <c r="A146" s="6" t="s">
        <v>816</v>
      </c>
      <c r="B146" s="6" t="s">
        <v>21</v>
      </c>
      <c r="C146" s="6" t="s">
        <v>216</v>
      </c>
      <c r="D146" s="6" t="s">
        <v>222</v>
      </c>
      <c r="E146" s="6" t="s">
        <v>817</v>
      </c>
      <c r="F146" s="17" t="n">
        <v>360000000</v>
      </c>
      <c r="G146" s="8" t="str">
        <f aca="false">IFERROR(INDEX(Sub_Markets!$B$5:$B$77,MATCH(D146,Sub_Markets!$A$5:$A$77,0)),C146)</f>
        <v>AFF03</v>
      </c>
      <c r="H146" s="6" t="s">
        <v>110</v>
      </c>
      <c r="I146" s="8" t="str">
        <f aca="false">IF(C146=G146,"Yes","No")</f>
        <v>Yes</v>
      </c>
      <c r="J146" s="17" t="n">
        <v>475200000</v>
      </c>
      <c r="K146" s="6" t="s">
        <v>448</v>
      </c>
      <c r="L146" s="6" t="s">
        <v>449</v>
      </c>
      <c r="M146" s="6" t="s">
        <v>445</v>
      </c>
    </row>
    <row r="147" customFormat="false" ht="23.85" hidden="false" customHeight="false" outlineLevel="0" collapsed="false">
      <c r="A147" s="6" t="s">
        <v>818</v>
      </c>
      <c r="B147" s="6" t="s">
        <v>45</v>
      </c>
      <c r="C147" s="6" t="s">
        <v>175</v>
      </c>
      <c r="D147" s="6" t="s">
        <v>190</v>
      </c>
      <c r="E147" s="6" t="s">
        <v>819</v>
      </c>
      <c r="F147" s="17" t="n">
        <v>700000000</v>
      </c>
      <c r="G147" s="8" t="str">
        <f aca="false">IFERROR(INDEX(Sub_Markets!$B$5:$B$77,MATCH(D147,Sub_Markets!$A$5:$A$77,0)),C147)</f>
        <v>AFF01</v>
      </c>
      <c r="H147" s="6" t="s">
        <v>535</v>
      </c>
      <c r="I147" s="8" t="str">
        <f aca="false">IF(C147=G147,"Yes","No")</f>
        <v>Yes</v>
      </c>
      <c r="J147" s="17" t="n">
        <v>504000000</v>
      </c>
      <c r="K147" s="6" t="s">
        <v>493</v>
      </c>
      <c r="L147" s="6" t="s">
        <v>494</v>
      </c>
      <c r="M147" s="6" t="s">
        <v>820</v>
      </c>
    </row>
    <row r="148" customFormat="false" ht="46.25" hidden="false" customHeight="false" outlineLevel="0" collapsed="false">
      <c r="A148" s="6" t="s">
        <v>821</v>
      </c>
      <c r="B148" s="6" t="s">
        <v>45</v>
      </c>
      <c r="C148" s="6" t="s">
        <v>175</v>
      </c>
      <c r="D148" s="6" t="s">
        <v>174</v>
      </c>
      <c r="E148" s="6" t="s">
        <v>822</v>
      </c>
      <c r="F148" s="17" t="n">
        <v>3200000000</v>
      </c>
      <c r="G148" s="8" t="str">
        <f aca="false">IFERROR(INDEX(Sub_Markets!$B$5:$B$77,MATCH(D148,Sub_Markets!$A$5:$A$77,0)),C148)</f>
        <v>AFF01</v>
      </c>
      <c r="H148" s="6" t="s">
        <v>535</v>
      </c>
      <c r="I148" s="8" t="str">
        <f aca="false">IF(C148=G148,"Yes","No")</f>
        <v>Yes</v>
      </c>
      <c r="J148" s="17" t="n">
        <v>2304000000</v>
      </c>
      <c r="K148" s="6" t="s">
        <v>448</v>
      </c>
      <c r="L148" s="6" t="s">
        <v>449</v>
      </c>
      <c r="M148" s="6" t="s">
        <v>542</v>
      </c>
    </row>
    <row r="149" customFormat="false" ht="23.85" hidden="false" customHeight="false" outlineLevel="0" collapsed="false">
      <c r="A149" s="6" t="s">
        <v>823</v>
      </c>
      <c r="B149" s="6" t="s">
        <v>45</v>
      </c>
      <c r="C149" s="6" t="s">
        <v>175</v>
      </c>
      <c r="D149" s="6" t="s">
        <v>190</v>
      </c>
      <c r="E149" s="6" t="s">
        <v>824</v>
      </c>
      <c r="F149" s="17" t="n">
        <v>500000000</v>
      </c>
      <c r="G149" s="8" t="str">
        <f aca="false">IFERROR(INDEX(Sub_Markets!$B$5:$B$77,MATCH(D149,Sub_Markets!$A$5:$A$77,0)),C149)</f>
        <v>AFF01</v>
      </c>
      <c r="H149" s="6" t="s">
        <v>535</v>
      </c>
      <c r="I149" s="8" t="str">
        <f aca="false">IF(C149=G149,"Yes","No")</f>
        <v>Yes</v>
      </c>
      <c r="J149" s="17" t="n">
        <v>360000000</v>
      </c>
      <c r="K149" s="6" t="s">
        <v>448</v>
      </c>
      <c r="L149" s="6" t="s">
        <v>449</v>
      </c>
      <c r="M149" s="6" t="s">
        <v>820</v>
      </c>
    </row>
    <row r="150" customFormat="false" ht="23.85" hidden="false" customHeight="false" outlineLevel="0" collapsed="false">
      <c r="A150" s="6" t="s">
        <v>825</v>
      </c>
      <c r="B150" s="6" t="s">
        <v>45</v>
      </c>
      <c r="C150" s="6" t="s">
        <v>112</v>
      </c>
      <c r="D150" s="6" t="s">
        <v>194</v>
      </c>
      <c r="E150" s="6" t="s">
        <v>826</v>
      </c>
      <c r="F150" s="17" t="n">
        <v>3500000000</v>
      </c>
      <c r="G150" s="8" t="str">
        <f aca="false">IFERROR(INDEX(Sub_Markets!$B$5:$B$77,MATCH(D150,Sub_Markets!$A$5:$A$77,0)),C150)</f>
        <v>AFF02</v>
      </c>
      <c r="H150" s="6" t="s">
        <v>535</v>
      </c>
      <c r="I150" s="8" t="str">
        <f aca="false">IF(C150=G150,"Yes","No")</f>
        <v>Yes</v>
      </c>
      <c r="J150" s="17" t="n">
        <v>2520000000</v>
      </c>
      <c r="K150" s="6" t="s">
        <v>448</v>
      </c>
      <c r="L150" s="6" t="s">
        <v>449</v>
      </c>
      <c r="M150" s="6" t="s">
        <v>827</v>
      </c>
    </row>
    <row r="151" customFormat="false" ht="23.85" hidden="false" customHeight="false" outlineLevel="0" collapsed="false">
      <c r="A151" s="6" t="s">
        <v>828</v>
      </c>
      <c r="B151" s="6" t="s">
        <v>45</v>
      </c>
      <c r="C151" s="6" t="s">
        <v>216</v>
      </c>
      <c r="D151" s="6" t="s">
        <v>231</v>
      </c>
      <c r="E151" s="6" t="s">
        <v>829</v>
      </c>
      <c r="F151" s="17" t="n">
        <v>45500000</v>
      </c>
      <c r="G151" s="8" t="str">
        <f aca="false">IFERROR(INDEX(Sub_Markets!$B$5:$B$77,MATCH(D151,Sub_Markets!$A$5:$A$77,0)),C151)</f>
        <v>AFF03</v>
      </c>
      <c r="H151" s="6" t="s">
        <v>535</v>
      </c>
      <c r="I151" s="8" t="str">
        <f aca="false">IF(C151=G151,"Yes","No")</f>
        <v>Yes</v>
      </c>
      <c r="J151" s="17" t="n">
        <v>32760000</v>
      </c>
      <c r="K151" s="6" t="s">
        <v>448</v>
      </c>
      <c r="L151" s="6" t="s">
        <v>453</v>
      </c>
      <c r="M151" s="6" t="s">
        <v>830</v>
      </c>
    </row>
    <row r="152" customFormat="false" ht="46.25" hidden="false" customHeight="false" outlineLevel="0" collapsed="false">
      <c r="A152" s="6" t="s">
        <v>831</v>
      </c>
      <c r="B152" s="6" t="s">
        <v>45</v>
      </c>
      <c r="C152" s="6" t="s">
        <v>216</v>
      </c>
      <c r="D152" s="6" t="s">
        <v>219</v>
      </c>
      <c r="E152" s="6" t="s">
        <v>832</v>
      </c>
      <c r="F152" s="17" t="n">
        <v>412900000</v>
      </c>
      <c r="G152" s="8" t="str">
        <f aca="false">IFERROR(INDEX(Sub_Markets!$B$5:$B$77,MATCH(D152,Sub_Markets!$A$5:$A$77,0)),C152)</f>
        <v>AFF03</v>
      </c>
      <c r="H152" s="6" t="s">
        <v>535</v>
      </c>
      <c r="I152" s="8" t="str">
        <f aca="false">IF(C152=G152,"Yes","No")</f>
        <v>Yes</v>
      </c>
      <c r="J152" s="17" t="n">
        <v>297288000</v>
      </c>
      <c r="K152" s="6" t="s">
        <v>448</v>
      </c>
      <c r="L152" s="6" t="s">
        <v>449</v>
      </c>
      <c r="M152" s="6" t="s">
        <v>833</v>
      </c>
    </row>
    <row r="153" customFormat="false" ht="46.25" hidden="false" customHeight="false" outlineLevel="0" collapsed="false">
      <c r="A153" s="6" t="s">
        <v>834</v>
      </c>
      <c r="B153" s="6" t="s">
        <v>45</v>
      </c>
      <c r="C153" s="6" t="s">
        <v>216</v>
      </c>
      <c r="D153" s="6" t="s">
        <v>219</v>
      </c>
      <c r="E153" s="6" t="s">
        <v>835</v>
      </c>
      <c r="F153" s="17" t="n">
        <v>81700000</v>
      </c>
      <c r="G153" s="8" t="str">
        <f aca="false">IFERROR(INDEX(Sub_Markets!$B$5:$B$77,MATCH(D153,Sub_Markets!$A$5:$A$77,0)),C153)</f>
        <v>AFF03</v>
      </c>
      <c r="H153" s="6" t="s">
        <v>535</v>
      </c>
      <c r="I153" s="8" t="str">
        <f aca="false">IF(C153=G153,"Yes","No")</f>
        <v>Yes</v>
      </c>
      <c r="J153" s="17" t="n">
        <v>58824000</v>
      </c>
      <c r="K153" s="6" t="s">
        <v>448</v>
      </c>
      <c r="L153" s="6" t="s">
        <v>449</v>
      </c>
      <c r="M153" s="6" t="s">
        <v>833</v>
      </c>
    </row>
    <row r="154" customFormat="false" ht="23.85" hidden="false" customHeight="false" outlineLevel="0" collapsed="false">
      <c r="A154" s="6" t="s">
        <v>836</v>
      </c>
      <c r="B154" s="6" t="s">
        <v>45</v>
      </c>
      <c r="C154" s="6" t="s">
        <v>175</v>
      </c>
      <c r="D154" s="6" t="s">
        <v>181</v>
      </c>
      <c r="E154" s="6" t="s">
        <v>837</v>
      </c>
      <c r="F154" s="17" t="n">
        <v>266700000</v>
      </c>
      <c r="G154" s="8" t="str">
        <f aca="false">IFERROR(INDEX(Sub_Markets!$B$5:$B$77,MATCH(D154,Sub_Markets!$A$5:$A$77,0)),C154)</f>
        <v>AFF01</v>
      </c>
      <c r="H154" s="6" t="s">
        <v>535</v>
      </c>
      <c r="I154" s="8" t="str">
        <f aca="false">IF(C154=G154,"Yes","No")</f>
        <v>Yes</v>
      </c>
      <c r="J154" s="17" t="n">
        <v>192024000</v>
      </c>
      <c r="K154" s="6" t="s">
        <v>448</v>
      </c>
      <c r="L154" s="6" t="s">
        <v>449</v>
      </c>
      <c r="M154" s="6" t="s">
        <v>536</v>
      </c>
    </row>
    <row r="155" customFormat="false" ht="23.85" hidden="false" customHeight="false" outlineLevel="0" collapsed="false">
      <c r="A155" s="6" t="s">
        <v>838</v>
      </c>
      <c r="B155" s="6" t="s">
        <v>45</v>
      </c>
      <c r="C155" s="6" t="s">
        <v>216</v>
      </c>
      <c r="D155" s="6" t="s">
        <v>219</v>
      </c>
      <c r="E155" s="6" t="s">
        <v>839</v>
      </c>
      <c r="F155" s="17" t="n">
        <v>326600000</v>
      </c>
      <c r="G155" s="8" t="str">
        <f aca="false">IFERROR(INDEX(Sub_Markets!$B$5:$B$77,MATCH(D155,Sub_Markets!$A$5:$A$77,0)),C155)</f>
        <v>AFF03</v>
      </c>
      <c r="H155" s="6" t="s">
        <v>535</v>
      </c>
      <c r="I155" s="8" t="str">
        <f aca="false">IF(C155=G155,"Yes","No")</f>
        <v>Yes</v>
      </c>
      <c r="J155" s="17" t="n">
        <v>235152000</v>
      </c>
      <c r="K155" s="6" t="s">
        <v>448</v>
      </c>
      <c r="L155" s="6" t="s">
        <v>449</v>
      </c>
      <c r="M155" s="6" t="s">
        <v>536</v>
      </c>
    </row>
    <row r="156" customFormat="false" ht="23.85" hidden="false" customHeight="false" outlineLevel="0" collapsed="false">
      <c r="A156" s="6" t="s">
        <v>840</v>
      </c>
      <c r="B156" s="6" t="s">
        <v>45</v>
      </c>
      <c r="C156" s="6" t="s">
        <v>216</v>
      </c>
      <c r="D156" s="6" t="s">
        <v>228</v>
      </c>
      <c r="E156" s="6" t="s">
        <v>841</v>
      </c>
      <c r="F156" s="17" t="n">
        <v>60000000</v>
      </c>
      <c r="G156" s="8" t="str">
        <f aca="false">IFERROR(INDEX(Sub_Markets!$B$5:$B$77,MATCH(D156,Sub_Markets!$A$5:$A$77,0)),C156)</f>
        <v>AFF03</v>
      </c>
      <c r="H156" s="6" t="s">
        <v>535</v>
      </c>
      <c r="I156" s="8" t="str">
        <f aca="false">IF(C156=G156,"Yes","No")</f>
        <v>Yes</v>
      </c>
      <c r="J156" s="17" t="n">
        <v>43200000</v>
      </c>
      <c r="K156" s="6" t="s">
        <v>448</v>
      </c>
      <c r="L156" s="6" t="s">
        <v>449</v>
      </c>
      <c r="M156" s="6" t="s">
        <v>637</v>
      </c>
    </row>
    <row r="157" customFormat="false" ht="15" hidden="false" customHeight="false" outlineLevel="0" collapsed="false">
      <c r="A157" s="6" t="s">
        <v>842</v>
      </c>
      <c r="B157" s="6" t="s">
        <v>60</v>
      </c>
      <c r="C157" s="6" t="s">
        <v>175</v>
      </c>
      <c r="D157" s="6" t="s">
        <v>178</v>
      </c>
      <c r="E157" s="6" t="s">
        <v>843</v>
      </c>
      <c r="F157" s="17" t="n">
        <v>100000000</v>
      </c>
      <c r="G157" s="8" t="str">
        <f aca="false">IFERROR(INDEX(Sub_Markets!$B$5:$B$77,MATCH(D157,Sub_Markets!$A$5:$A$77,0)),C157)</f>
        <v>AFF01</v>
      </c>
      <c r="H157" s="6" t="s">
        <v>473</v>
      </c>
      <c r="I157" s="8" t="str">
        <f aca="false">IF(C157=G157,"Yes","No")</f>
        <v>Yes</v>
      </c>
      <c r="J157" s="17" t="n">
        <v>115000000</v>
      </c>
      <c r="K157" s="6" t="s">
        <v>448</v>
      </c>
      <c r="L157" s="6" t="s">
        <v>449</v>
      </c>
      <c r="M157" s="6" t="s">
        <v>445</v>
      </c>
    </row>
    <row r="158" customFormat="false" ht="15" hidden="false" customHeight="false" outlineLevel="0" collapsed="false">
      <c r="A158" s="6" t="s">
        <v>844</v>
      </c>
      <c r="B158" s="6" t="s">
        <v>60</v>
      </c>
      <c r="C158" s="6" t="s">
        <v>175</v>
      </c>
      <c r="D158" s="6" t="s">
        <v>184</v>
      </c>
      <c r="E158" s="6" t="s">
        <v>845</v>
      </c>
      <c r="F158" s="17" t="n">
        <v>15000000</v>
      </c>
      <c r="G158" s="8" t="str">
        <f aca="false">IFERROR(INDEX(Sub_Markets!$B$5:$B$77,MATCH(D158,Sub_Markets!$A$5:$A$77,0)),C158)</f>
        <v>AFF01</v>
      </c>
      <c r="H158" s="6" t="s">
        <v>473</v>
      </c>
      <c r="I158" s="8" t="str">
        <f aca="false">IF(C158=G158,"Yes","No")</f>
        <v>Yes</v>
      </c>
      <c r="J158" s="17" t="n">
        <v>17250000</v>
      </c>
      <c r="K158" s="6" t="s">
        <v>448</v>
      </c>
      <c r="L158" s="6" t="s">
        <v>449</v>
      </c>
      <c r="M158" s="6" t="s">
        <v>445</v>
      </c>
    </row>
    <row r="159" customFormat="false" ht="15" hidden="false" customHeight="false" outlineLevel="0" collapsed="false">
      <c r="A159" s="6" t="s">
        <v>846</v>
      </c>
      <c r="B159" s="6" t="s">
        <v>60</v>
      </c>
      <c r="C159" s="6" t="s">
        <v>112</v>
      </c>
      <c r="D159" s="6" t="s">
        <v>197</v>
      </c>
      <c r="E159" s="6" t="s">
        <v>847</v>
      </c>
      <c r="F159" s="17" t="n">
        <v>6000000</v>
      </c>
      <c r="G159" s="8" t="str">
        <f aca="false">IFERROR(INDEX(Sub_Markets!$B$5:$B$77,MATCH(D159,Sub_Markets!$A$5:$A$77,0)),C159)</f>
        <v>AFF02</v>
      </c>
      <c r="H159" s="6" t="s">
        <v>473</v>
      </c>
      <c r="I159" s="8" t="str">
        <f aca="false">IF(C159=G159,"Yes","No")</f>
        <v>Yes</v>
      </c>
      <c r="J159" s="17" t="n">
        <v>6900000</v>
      </c>
      <c r="K159" s="6" t="s">
        <v>448</v>
      </c>
      <c r="L159" s="6" t="s">
        <v>449</v>
      </c>
      <c r="M159" s="6" t="s">
        <v>445</v>
      </c>
    </row>
    <row r="160" customFormat="false" ht="15" hidden="false" customHeight="false" outlineLevel="0" collapsed="false">
      <c r="A160" s="6" t="s">
        <v>848</v>
      </c>
      <c r="B160" s="6" t="s">
        <v>60</v>
      </c>
      <c r="C160" s="6" t="s">
        <v>112</v>
      </c>
      <c r="D160" s="6" t="s">
        <v>200</v>
      </c>
      <c r="E160" s="6" t="s">
        <v>849</v>
      </c>
      <c r="F160" s="17" t="n">
        <v>80000000</v>
      </c>
      <c r="G160" s="8" t="str">
        <f aca="false">IFERROR(INDEX(Sub_Markets!$B$5:$B$77,MATCH(D160,Sub_Markets!$A$5:$A$77,0)),C160)</f>
        <v>AFF02</v>
      </c>
      <c r="H160" s="6" t="s">
        <v>473</v>
      </c>
      <c r="I160" s="8" t="str">
        <f aca="false">IF(C160=G160,"Yes","No")</f>
        <v>Yes</v>
      </c>
      <c r="J160" s="17" t="n">
        <v>92000000</v>
      </c>
      <c r="K160" s="6" t="s">
        <v>448</v>
      </c>
      <c r="L160" s="6" t="s">
        <v>449</v>
      </c>
      <c r="M160" s="6" t="s">
        <v>445</v>
      </c>
    </row>
    <row r="161" customFormat="false" ht="35.05" hidden="false" customHeight="false" outlineLevel="0" collapsed="false">
      <c r="A161" s="6" t="s">
        <v>850</v>
      </c>
      <c r="B161" s="6" t="s">
        <v>60</v>
      </c>
      <c r="C161" s="6" t="s">
        <v>112</v>
      </c>
      <c r="D161" s="6" t="s">
        <v>209</v>
      </c>
      <c r="E161" s="6" t="s">
        <v>851</v>
      </c>
      <c r="F161" s="17" t="n">
        <v>65000000</v>
      </c>
      <c r="G161" s="8" t="str">
        <f aca="false">IFERROR(INDEX(Sub_Markets!$B$5:$B$77,MATCH(D161,Sub_Markets!$A$5:$A$77,0)),C161)</f>
        <v>AFF02</v>
      </c>
      <c r="H161" s="6" t="s">
        <v>473</v>
      </c>
      <c r="I161" s="8" t="str">
        <f aca="false">IF(C161=G161,"Yes","No")</f>
        <v>Yes</v>
      </c>
      <c r="J161" s="17" t="n">
        <v>74750000</v>
      </c>
      <c r="K161" s="6" t="s">
        <v>448</v>
      </c>
      <c r="L161" s="6" t="s">
        <v>453</v>
      </c>
      <c r="M161" s="6" t="s">
        <v>852</v>
      </c>
    </row>
    <row r="162" customFormat="false" ht="15" hidden="false" customHeight="false" outlineLevel="0" collapsed="false">
      <c r="A162" s="6" t="s">
        <v>853</v>
      </c>
      <c r="B162" s="6" t="s">
        <v>60</v>
      </c>
      <c r="C162" s="6" t="s">
        <v>216</v>
      </c>
      <c r="D162" s="6" t="s">
        <v>225</v>
      </c>
      <c r="E162" s="6" t="s">
        <v>854</v>
      </c>
      <c r="F162" s="17" t="n">
        <v>6000000</v>
      </c>
      <c r="G162" s="8" t="str">
        <f aca="false">IFERROR(INDEX(Sub_Markets!$B$5:$B$77,MATCH(D162,Sub_Markets!$A$5:$A$77,0)),C162)</f>
        <v>AFF03</v>
      </c>
      <c r="H162" s="6" t="s">
        <v>473</v>
      </c>
      <c r="I162" s="8" t="str">
        <f aca="false">IF(C162=G162,"Yes","No")</f>
        <v>Yes</v>
      </c>
      <c r="J162" s="17" t="n">
        <v>6900000</v>
      </c>
      <c r="K162" s="6" t="s">
        <v>448</v>
      </c>
      <c r="L162" s="6" t="s">
        <v>449</v>
      </c>
      <c r="M162" s="6" t="s">
        <v>445</v>
      </c>
    </row>
    <row r="163" customFormat="false" ht="23.85" hidden="false" customHeight="false" outlineLevel="0" collapsed="false">
      <c r="A163" s="6" t="s">
        <v>855</v>
      </c>
      <c r="B163" s="6" t="s">
        <v>60</v>
      </c>
      <c r="C163" s="6" t="s">
        <v>216</v>
      </c>
      <c r="D163" s="6" t="s">
        <v>215</v>
      </c>
      <c r="E163" s="6" t="s">
        <v>856</v>
      </c>
      <c r="F163" s="17" t="n">
        <v>793300000</v>
      </c>
      <c r="G163" s="8" t="str">
        <f aca="false">IFERROR(INDEX(Sub_Markets!$B$5:$B$77,MATCH(D163,Sub_Markets!$A$5:$A$77,0)),C163)</f>
        <v>AFF03</v>
      </c>
      <c r="H163" s="6" t="s">
        <v>473</v>
      </c>
      <c r="I163" s="8" t="str">
        <f aca="false">IF(C163=G163,"Yes","No")</f>
        <v>Yes</v>
      </c>
      <c r="J163" s="17" t="n">
        <v>912295000</v>
      </c>
      <c r="K163" s="6" t="s">
        <v>448</v>
      </c>
      <c r="L163" s="6" t="s">
        <v>449</v>
      </c>
      <c r="M163" s="6" t="s">
        <v>857</v>
      </c>
    </row>
    <row r="164" customFormat="false" ht="15" hidden="false" customHeight="false" outlineLevel="0" collapsed="false">
      <c r="A164" s="6" t="s">
        <v>858</v>
      </c>
      <c r="B164" s="6" t="s">
        <v>63</v>
      </c>
      <c r="C164" s="6" t="s">
        <v>175</v>
      </c>
      <c r="D164" s="6" t="s">
        <v>184</v>
      </c>
      <c r="E164" s="6" t="s">
        <v>859</v>
      </c>
      <c r="F164" s="17" t="n">
        <v>2625000</v>
      </c>
      <c r="G164" s="8" t="str">
        <f aca="false">IFERROR(INDEX(Sub_Markets!$B$5:$B$77,MATCH(D164,Sub_Markets!$A$5:$A$77,0)),C164)</f>
        <v>AFF01</v>
      </c>
      <c r="H164" s="6" t="s">
        <v>473</v>
      </c>
      <c r="I164" s="8" t="str">
        <f aca="false">IF(C164=G164,"Yes","No")</f>
        <v>Yes</v>
      </c>
      <c r="J164" s="17" t="n">
        <v>3018750</v>
      </c>
      <c r="K164" s="6" t="s">
        <v>448</v>
      </c>
      <c r="L164" s="6" t="s">
        <v>449</v>
      </c>
      <c r="M164" s="6" t="s">
        <v>860</v>
      </c>
    </row>
    <row r="165" customFormat="false" ht="15" hidden="false" customHeight="false" outlineLevel="0" collapsed="false">
      <c r="A165" s="6" t="s">
        <v>861</v>
      </c>
      <c r="B165" s="6" t="s">
        <v>63</v>
      </c>
      <c r="C165" s="6" t="s">
        <v>112</v>
      </c>
      <c r="D165" s="6" t="s">
        <v>194</v>
      </c>
      <c r="E165" s="6" t="s">
        <v>862</v>
      </c>
      <c r="F165" s="17" t="n">
        <v>1670000000</v>
      </c>
      <c r="G165" s="8" t="str">
        <f aca="false">IFERROR(INDEX(Sub_Markets!$B$5:$B$77,MATCH(D165,Sub_Markets!$A$5:$A$77,0)),C165)</f>
        <v>AFF02</v>
      </c>
      <c r="H165" s="6" t="s">
        <v>473</v>
      </c>
      <c r="I165" s="8" t="str">
        <f aca="false">IF(C165=G165,"Yes","No")</f>
        <v>Yes</v>
      </c>
      <c r="J165" s="17" t="n">
        <v>1920500000</v>
      </c>
      <c r="K165" s="6" t="s">
        <v>448</v>
      </c>
      <c r="L165" s="6" t="s">
        <v>449</v>
      </c>
      <c r="M165" s="6" t="s">
        <v>863</v>
      </c>
    </row>
    <row r="166" customFormat="false" ht="23.85" hidden="false" customHeight="false" outlineLevel="0" collapsed="false">
      <c r="A166" s="6" t="s">
        <v>864</v>
      </c>
      <c r="B166" s="6" t="s">
        <v>63</v>
      </c>
      <c r="C166" s="6" t="s">
        <v>112</v>
      </c>
      <c r="D166" s="6" t="s">
        <v>194</v>
      </c>
      <c r="E166" s="6" t="s">
        <v>865</v>
      </c>
      <c r="F166" s="17" t="n">
        <v>5500000000</v>
      </c>
      <c r="G166" s="8" t="str">
        <f aca="false">IFERROR(INDEX(Sub_Markets!$B$5:$B$77,MATCH(D166,Sub_Markets!$A$5:$A$77,0)),C166)</f>
        <v>AFF02</v>
      </c>
      <c r="H166" s="6" t="s">
        <v>473</v>
      </c>
      <c r="I166" s="8" t="str">
        <f aca="false">IF(C166=G166,"Yes","No")</f>
        <v>Yes</v>
      </c>
      <c r="J166" s="17" t="n">
        <v>6325000000</v>
      </c>
      <c r="K166" s="6" t="s">
        <v>448</v>
      </c>
      <c r="L166" s="6" t="s">
        <v>449</v>
      </c>
      <c r="M166" s="6" t="s">
        <v>863</v>
      </c>
    </row>
    <row r="167" customFormat="false" ht="57.45" hidden="false" customHeight="false" outlineLevel="0" collapsed="false">
      <c r="A167" s="6" t="s">
        <v>866</v>
      </c>
      <c r="B167" s="6" t="s">
        <v>63</v>
      </c>
      <c r="C167" s="6" t="s">
        <v>112</v>
      </c>
      <c r="D167" s="6" t="s">
        <v>200</v>
      </c>
      <c r="E167" s="6" t="s">
        <v>867</v>
      </c>
      <c r="F167" s="17" t="n">
        <v>2740000000</v>
      </c>
      <c r="G167" s="8" t="str">
        <f aca="false">IFERROR(INDEX(Sub_Markets!$B$5:$B$77,MATCH(D167,Sub_Markets!$A$5:$A$77,0)),C167)</f>
        <v>AFF02</v>
      </c>
      <c r="H167" s="6" t="s">
        <v>473</v>
      </c>
      <c r="I167" s="8" t="str">
        <f aca="false">IF(C167=G167,"Yes","No")</f>
        <v>Yes</v>
      </c>
      <c r="J167" s="17" t="n">
        <v>3151000000</v>
      </c>
      <c r="K167" s="6" t="s">
        <v>448</v>
      </c>
      <c r="L167" s="6" t="s">
        <v>449</v>
      </c>
      <c r="M167" s="6" t="s">
        <v>863</v>
      </c>
    </row>
    <row r="168" customFormat="false" ht="23.85" hidden="false" customHeight="false" outlineLevel="0" collapsed="false">
      <c r="A168" s="6" t="s">
        <v>868</v>
      </c>
      <c r="B168" s="6" t="s">
        <v>63</v>
      </c>
      <c r="C168" s="6" t="s">
        <v>216</v>
      </c>
      <c r="D168" s="6" t="s">
        <v>215</v>
      </c>
      <c r="E168" s="6" t="s">
        <v>472</v>
      </c>
      <c r="F168" s="17" t="n">
        <v>645270000</v>
      </c>
      <c r="G168" s="8" t="str">
        <f aca="false">IFERROR(INDEX(Sub_Markets!$B$5:$B$77,MATCH(D168,Sub_Markets!$A$5:$A$77,0)),C168)</f>
        <v>AFF03</v>
      </c>
      <c r="H168" s="6" t="s">
        <v>473</v>
      </c>
      <c r="I168" s="8" t="str">
        <f aca="false">IF(C168=G168,"Yes","No")</f>
        <v>Yes</v>
      </c>
      <c r="J168" s="17" t="n">
        <v>742060500</v>
      </c>
      <c r="K168" s="6" t="s">
        <v>448</v>
      </c>
      <c r="L168" s="6" t="s">
        <v>449</v>
      </c>
      <c r="M168" s="6" t="s">
        <v>857</v>
      </c>
    </row>
    <row r="169" customFormat="false" ht="23.85" hidden="false" customHeight="false" outlineLevel="0" collapsed="false">
      <c r="A169" s="6" t="s">
        <v>869</v>
      </c>
      <c r="B169" s="6" t="s">
        <v>63</v>
      </c>
      <c r="C169" s="6" t="s">
        <v>216</v>
      </c>
      <c r="D169" s="6" t="s">
        <v>219</v>
      </c>
      <c r="E169" s="6" t="s">
        <v>476</v>
      </c>
      <c r="F169" s="17" t="n">
        <v>400350000</v>
      </c>
      <c r="G169" s="8" t="str">
        <f aca="false">IFERROR(INDEX(Sub_Markets!$B$5:$B$77,MATCH(D169,Sub_Markets!$A$5:$A$77,0)),C169)</f>
        <v>AFF03</v>
      </c>
      <c r="H169" s="6" t="s">
        <v>473</v>
      </c>
      <c r="I169" s="8" t="str">
        <f aca="false">IF(C169=G169,"Yes","No")</f>
        <v>Yes</v>
      </c>
      <c r="J169" s="17" t="n">
        <v>460402500</v>
      </c>
      <c r="K169" s="6" t="s">
        <v>448</v>
      </c>
      <c r="L169" s="6" t="s">
        <v>449</v>
      </c>
      <c r="M169" s="6" t="s">
        <v>857</v>
      </c>
    </row>
    <row r="170" customFormat="false" ht="15" hidden="false" customHeight="false" outlineLevel="0" collapsed="false">
      <c r="A170" s="6" t="s">
        <v>870</v>
      </c>
      <c r="B170" s="6" t="s">
        <v>63</v>
      </c>
      <c r="C170" s="6" t="s">
        <v>216</v>
      </c>
      <c r="D170" s="6" t="s">
        <v>231</v>
      </c>
      <c r="E170" s="6" t="s">
        <v>478</v>
      </c>
      <c r="F170" s="17" t="n">
        <v>147580000</v>
      </c>
      <c r="G170" s="8" t="str">
        <f aca="false">IFERROR(INDEX(Sub_Markets!$B$5:$B$77,MATCH(D170,Sub_Markets!$A$5:$A$77,0)),C170)</f>
        <v>AFF03</v>
      </c>
      <c r="H170" s="6" t="s">
        <v>473</v>
      </c>
      <c r="I170" s="8" t="str">
        <f aca="false">IF(C170=G170,"Yes","No")</f>
        <v>Yes</v>
      </c>
      <c r="J170" s="17" t="n">
        <v>169717000</v>
      </c>
      <c r="K170" s="6" t="s">
        <v>448</v>
      </c>
      <c r="L170" s="6" t="s">
        <v>449</v>
      </c>
      <c r="M170" s="6" t="s">
        <v>857</v>
      </c>
    </row>
    <row r="171" customFormat="false" ht="23.85" hidden="false" customHeight="false" outlineLevel="0" collapsed="false">
      <c r="A171" s="6" t="s">
        <v>871</v>
      </c>
      <c r="B171" s="6" t="s">
        <v>63</v>
      </c>
      <c r="C171" s="6" t="s">
        <v>216</v>
      </c>
      <c r="D171" s="6" t="s">
        <v>215</v>
      </c>
      <c r="E171" s="6" t="s">
        <v>872</v>
      </c>
      <c r="F171" s="17" t="n">
        <v>81640000</v>
      </c>
      <c r="G171" s="8" t="str">
        <f aca="false">IFERROR(INDEX(Sub_Markets!$B$5:$B$77,MATCH(D171,Sub_Markets!$A$5:$A$77,0)),C171)</f>
        <v>AFF03</v>
      </c>
      <c r="H171" s="6" t="s">
        <v>473</v>
      </c>
      <c r="I171" s="8" t="str">
        <f aca="false">IF(C171=G171,"Yes","No")</f>
        <v>Yes</v>
      </c>
      <c r="J171" s="17" t="n">
        <v>93886000</v>
      </c>
      <c r="K171" s="6" t="s">
        <v>448</v>
      </c>
      <c r="L171" s="6" t="s">
        <v>449</v>
      </c>
      <c r="M171" s="6" t="s">
        <v>857</v>
      </c>
    </row>
    <row r="172" customFormat="false" ht="15" hidden="false" customHeight="false" outlineLevel="0" collapsed="false">
      <c r="A172" s="6" t="s">
        <v>873</v>
      </c>
      <c r="B172" s="6" t="s">
        <v>63</v>
      </c>
      <c r="C172" s="6" t="s">
        <v>216</v>
      </c>
      <c r="D172" s="6" t="s">
        <v>231</v>
      </c>
      <c r="E172" s="6" t="s">
        <v>480</v>
      </c>
      <c r="F172" s="17" t="n">
        <v>50240000</v>
      </c>
      <c r="G172" s="8" t="str">
        <f aca="false">IFERROR(INDEX(Sub_Markets!$B$5:$B$77,MATCH(D172,Sub_Markets!$A$5:$A$77,0)),C172)</f>
        <v>AFF03</v>
      </c>
      <c r="H172" s="6" t="s">
        <v>473</v>
      </c>
      <c r="I172" s="8" t="str">
        <f aca="false">IF(C172=G172,"Yes","No")</f>
        <v>Yes</v>
      </c>
      <c r="J172" s="17" t="n">
        <v>57776000</v>
      </c>
      <c r="K172" s="6" t="s">
        <v>448</v>
      </c>
      <c r="L172" s="6" t="s">
        <v>449</v>
      </c>
      <c r="M172" s="6" t="s">
        <v>857</v>
      </c>
    </row>
    <row r="173" customFormat="false" ht="23.85" hidden="false" customHeight="false" outlineLevel="0" collapsed="false">
      <c r="A173" s="6" t="s">
        <v>874</v>
      </c>
      <c r="B173" s="6" t="s">
        <v>63</v>
      </c>
      <c r="C173" s="6" t="s">
        <v>175</v>
      </c>
      <c r="D173" s="6" t="s">
        <v>187</v>
      </c>
      <c r="E173" s="6" t="s">
        <v>875</v>
      </c>
      <c r="F173" s="17" t="n">
        <v>820000000</v>
      </c>
      <c r="G173" s="8" t="str">
        <f aca="false">IFERROR(INDEX(Sub_Markets!$B$5:$B$77,MATCH(D173,Sub_Markets!$A$5:$A$77,0)),C173)</f>
        <v>AFF01</v>
      </c>
      <c r="H173" s="6" t="s">
        <v>473</v>
      </c>
      <c r="I173" s="8" t="str">
        <f aca="false">IF(C173=G173,"Yes","No")</f>
        <v>Yes</v>
      </c>
      <c r="J173" s="17" t="n">
        <v>943000000</v>
      </c>
      <c r="K173" s="6" t="s">
        <v>448</v>
      </c>
      <c r="L173" s="6" t="s">
        <v>449</v>
      </c>
      <c r="M173" s="6" t="s">
        <v>863</v>
      </c>
    </row>
    <row r="174" customFormat="false" ht="15" hidden="false" customHeight="false" outlineLevel="0" collapsed="false">
      <c r="A174" s="6" t="s">
        <v>876</v>
      </c>
      <c r="B174" s="6" t="s">
        <v>66</v>
      </c>
      <c r="C174" s="6" t="s">
        <v>112</v>
      </c>
      <c r="D174" s="6" t="s">
        <v>194</v>
      </c>
      <c r="E174" s="6" t="s">
        <v>877</v>
      </c>
      <c r="F174" s="17" t="n">
        <v>930000000</v>
      </c>
      <c r="G174" s="8" t="str">
        <f aca="false">IFERROR(INDEX(Sub_Markets!$B$5:$B$77,MATCH(D174,Sub_Markets!$A$5:$A$77,0)),C174)</f>
        <v>AFF02</v>
      </c>
      <c r="H174" s="6" t="s">
        <v>473</v>
      </c>
      <c r="I174" s="8" t="str">
        <f aca="false">IF(C174=G174,"Yes","No")</f>
        <v>Yes</v>
      </c>
      <c r="J174" s="17" t="n">
        <v>1069500000</v>
      </c>
      <c r="K174" s="6" t="s">
        <v>448</v>
      </c>
      <c r="L174" s="6" t="s">
        <v>449</v>
      </c>
      <c r="M174" s="6" t="s">
        <v>485</v>
      </c>
    </row>
    <row r="175" customFormat="false" ht="23.85" hidden="false" customHeight="false" outlineLevel="0" collapsed="false">
      <c r="A175" s="6" t="s">
        <v>878</v>
      </c>
      <c r="B175" s="6" t="s">
        <v>66</v>
      </c>
      <c r="C175" s="6" t="s">
        <v>216</v>
      </c>
      <c r="D175" s="6" t="s">
        <v>215</v>
      </c>
      <c r="E175" s="6" t="s">
        <v>472</v>
      </c>
      <c r="F175" s="17" t="n">
        <v>148274000</v>
      </c>
      <c r="G175" s="8" t="str">
        <f aca="false">IFERROR(INDEX(Sub_Markets!$B$5:$B$77,MATCH(D175,Sub_Markets!$A$5:$A$77,0)),C175)</f>
        <v>AFF03</v>
      </c>
      <c r="H175" s="6" t="s">
        <v>473</v>
      </c>
      <c r="I175" s="8" t="str">
        <f aca="false">IF(C175=G175,"Yes","No")</f>
        <v>Yes</v>
      </c>
      <c r="J175" s="17" t="n">
        <v>170515100</v>
      </c>
      <c r="K175" s="6" t="s">
        <v>448</v>
      </c>
      <c r="L175" s="6" t="s">
        <v>449</v>
      </c>
      <c r="M175" s="6" t="s">
        <v>857</v>
      </c>
    </row>
    <row r="176" customFormat="false" ht="23.85" hidden="false" customHeight="false" outlineLevel="0" collapsed="false">
      <c r="A176" s="6" t="s">
        <v>879</v>
      </c>
      <c r="B176" s="6" t="s">
        <v>66</v>
      </c>
      <c r="C176" s="6" t="s">
        <v>216</v>
      </c>
      <c r="D176" s="6" t="s">
        <v>219</v>
      </c>
      <c r="E176" s="6" t="s">
        <v>476</v>
      </c>
      <c r="F176" s="17" t="n">
        <v>99858000</v>
      </c>
      <c r="G176" s="8" t="str">
        <f aca="false">IFERROR(INDEX(Sub_Markets!$B$5:$B$77,MATCH(D176,Sub_Markets!$A$5:$A$77,0)),C176)</f>
        <v>AFF03</v>
      </c>
      <c r="H176" s="6" t="s">
        <v>473</v>
      </c>
      <c r="I176" s="8" t="str">
        <f aca="false">IF(C176=G176,"Yes","No")</f>
        <v>Yes</v>
      </c>
      <c r="J176" s="17" t="n">
        <v>114836700</v>
      </c>
      <c r="K176" s="6" t="s">
        <v>448</v>
      </c>
      <c r="L176" s="6" t="s">
        <v>449</v>
      </c>
      <c r="M176" s="6" t="s">
        <v>857</v>
      </c>
    </row>
    <row r="177" customFormat="false" ht="15" hidden="false" customHeight="false" outlineLevel="0" collapsed="false">
      <c r="A177" s="6" t="s">
        <v>880</v>
      </c>
      <c r="B177" s="6" t="s">
        <v>66</v>
      </c>
      <c r="C177" s="6" t="s">
        <v>216</v>
      </c>
      <c r="D177" s="6" t="s">
        <v>231</v>
      </c>
      <c r="E177" s="6" t="s">
        <v>478</v>
      </c>
      <c r="F177" s="17" t="n">
        <v>30260000</v>
      </c>
      <c r="G177" s="8" t="str">
        <f aca="false">IFERROR(INDEX(Sub_Markets!$B$5:$B$77,MATCH(D177,Sub_Markets!$A$5:$A$77,0)),C177)</f>
        <v>AFF03</v>
      </c>
      <c r="H177" s="6" t="s">
        <v>473</v>
      </c>
      <c r="I177" s="8" t="str">
        <f aca="false">IF(C177=G177,"Yes","No")</f>
        <v>Yes</v>
      </c>
      <c r="J177" s="17" t="n">
        <v>34799000</v>
      </c>
      <c r="K177" s="6" t="s">
        <v>448</v>
      </c>
      <c r="L177" s="6" t="s">
        <v>449</v>
      </c>
      <c r="M177" s="6" t="s">
        <v>857</v>
      </c>
    </row>
    <row r="178" customFormat="false" ht="15" hidden="false" customHeight="false" outlineLevel="0" collapsed="false">
      <c r="A178" s="6" t="s">
        <v>881</v>
      </c>
      <c r="B178" s="6" t="s">
        <v>66</v>
      </c>
      <c r="C178" s="6" t="s">
        <v>216</v>
      </c>
      <c r="D178" s="6" t="s">
        <v>231</v>
      </c>
      <c r="E178" s="6" t="s">
        <v>480</v>
      </c>
      <c r="F178" s="17" t="n">
        <v>6052000</v>
      </c>
      <c r="G178" s="8" t="str">
        <f aca="false">IFERROR(INDEX(Sub_Markets!$B$5:$B$77,MATCH(D178,Sub_Markets!$A$5:$A$77,0)),C178)</f>
        <v>AFF03</v>
      </c>
      <c r="H178" s="6" t="s">
        <v>473</v>
      </c>
      <c r="I178" s="8" t="str">
        <f aca="false">IF(C178=G178,"Yes","No")</f>
        <v>Yes</v>
      </c>
      <c r="J178" s="17" t="n">
        <v>6959800</v>
      </c>
      <c r="K178" s="6" t="s">
        <v>448</v>
      </c>
      <c r="L178" s="6" t="s">
        <v>449</v>
      </c>
      <c r="M178" s="6" t="s">
        <v>857</v>
      </c>
    </row>
    <row r="179" customFormat="false" ht="15" hidden="false" customHeight="false" outlineLevel="0" collapsed="false">
      <c r="A179" s="6" t="s">
        <v>882</v>
      </c>
      <c r="B179" s="6" t="s">
        <v>66</v>
      </c>
      <c r="C179" s="6" t="s">
        <v>112</v>
      </c>
      <c r="D179" s="6" t="s">
        <v>203</v>
      </c>
      <c r="E179" s="6" t="s">
        <v>883</v>
      </c>
      <c r="F179" s="17" t="n">
        <v>2300000000</v>
      </c>
      <c r="G179" s="8" t="str">
        <f aca="false">IFERROR(INDEX(Sub_Markets!$B$5:$B$77,MATCH(D179,Sub_Markets!$A$5:$A$77,0)),C179)</f>
        <v>AFF02</v>
      </c>
      <c r="H179" s="6" t="s">
        <v>473</v>
      </c>
      <c r="I179" s="8" t="str">
        <f aca="false">IF(C179=G179,"Yes","No")</f>
        <v>Yes</v>
      </c>
      <c r="J179" s="17" t="n">
        <v>2645000000</v>
      </c>
      <c r="K179" s="6" t="s">
        <v>448</v>
      </c>
      <c r="L179" s="6" t="s">
        <v>449</v>
      </c>
      <c r="M179" s="6" t="s">
        <v>485</v>
      </c>
    </row>
    <row r="180" customFormat="false" ht="23.85" hidden="false" customHeight="false" outlineLevel="0" collapsed="false">
      <c r="A180" s="6" t="s">
        <v>884</v>
      </c>
      <c r="B180" s="6" t="s">
        <v>66</v>
      </c>
      <c r="C180" s="6" t="s">
        <v>112</v>
      </c>
      <c r="D180" s="6" t="s">
        <v>200</v>
      </c>
      <c r="E180" s="6" t="s">
        <v>885</v>
      </c>
      <c r="F180" s="17" t="n">
        <v>1700000000</v>
      </c>
      <c r="G180" s="8" t="str">
        <f aca="false">IFERROR(INDEX(Sub_Markets!$B$5:$B$77,MATCH(D180,Sub_Markets!$A$5:$A$77,0)),C180)</f>
        <v>AFF02</v>
      </c>
      <c r="H180" s="6" t="s">
        <v>473</v>
      </c>
      <c r="I180" s="8" t="str">
        <f aca="false">IF(C180=G180,"Yes","No")</f>
        <v>Yes</v>
      </c>
      <c r="J180" s="17" t="n">
        <v>1955000000</v>
      </c>
      <c r="K180" s="6" t="s">
        <v>448</v>
      </c>
      <c r="L180" s="6" t="s">
        <v>449</v>
      </c>
      <c r="M180" s="6" t="s">
        <v>485</v>
      </c>
    </row>
    <row r="181" customFormat="false" ht="15" hidden="false" customHeight="false" outlineLevel="0" collapsed="false">
      <c r="A181" s="6" t="s">
        <v>886</v>
      </c>
      <c r="B181" s="6" t="s">
        <v>68</v>
      </c>
      <c r="C181" s="6" t="s">
        <v>175</v>
      </c>
      <c r="D181" s="6" t="s">
        <v>174</v>
      </c>
      <c r="E181" s="6" t="s">
        <v>887</v>
      </c>
      <c r="F181" s="17" t="n">
        <v>17500000</v>
      </c>
      <c r="G181" s="8" t="str">
        <f aca="false">IFERROR(INDEX(Sub_Markets!$B$5:$B$77,MATCH(D181,Sub_Markets!$A$5:$A$77,0)),C181)</f>
        <v>AFF01</v>
      </c>
      <c r="H181" s="6" t="s">
        <v>473</v>
      </c>
      <c r="I181" s="8" t="str">
        <f aca="false">IF(C181=G181,"Yes","No")</f>
        <v>Yes</v>
      </c>
      <c r="J181" s="17" t="n">
        <v>20125000</v>
      </c>
      <c r="K181" s="6" t="s">
        <v>448</v>
      </c>
      <c r="L181" s="6" t="s">
        <v>449</v>
      </c>
      <c r="M181" s="6" t="s">
        <v>445</v>
      </c>
    </row>
    <row r="182" customFormat="false" ht="15" hidden="false" customHeight="false" outlineLevel="0" collapsed="false">
      <c r="A182" s="6" t="s">
        <v>888</v>
      </c>
      <c r="B182" s="6" t="s">
        <v>68</v>
      </c>
      <c r="C182" s="6" t="s">
        <v>175</v>
      </c>
      <c r="D182" s="6" t="s">
        <v>184</v>
      </c>
      <c r="E182" s="6" t="s">
        <v>889</v>
      </c>
      <c r="F182" s="17" t="n">
        <v>1300000000</v>
      </c>
      <c r="G182" s="8" t="str">
        <f aca="false">IFERROR(INDEX(Sub_Markets!$B$5:$B$77,MATCH(D182,Sub_Markets!$A$5:$A$77,0)),C182)</f>
        <v>AFF01</v>
      </c>
      <c r="H182" s="6" t="s">
        <v>473</v>
      </c>
      <c r="I182" s="8" t="str">
        <f aca="false">IF(C182=G182,"Yes","No")</f>
        <v>Yes</v>
      </c>
      <c r="J182" s="17" t="n">
        <v>1495000000</v>
      </c>
      <c r="K182" s="6" t="s">
        <v>443</v>
      </c>
      <c r="L182" s="6" t="s">
        <v>785</v>
      </c>
      <c r="M182" s="6" t="s">
        <v>890</v>
      </c>
    </row>
    <row r="183" customFormat="false" ht="23.85" hidden="false" customHeight="false" outlineLevel="0" collapsed="false">
      <c r="A183" s="6" t="s">
        <v>891</v>
      </c>
      <c r="B183" s="6" t="s">
        <v>68</v>
      </c>
      <c r="C183" s="6" t="s">
        <v>112</v>
      </c>
      <c r="D183" s="6" t="s">
        <v>194</v>
      </c>
      <c r="E183" s="6" t="s">
        <v>892</v>
      </c>
      <c r="F183" s="17" t="n">
        <v>2300000000</v>
      </c>
      <c r="G183" s="8" t="str">
        <f aca="false">IFERROR(INDEX(Sub_Markets!$B$5:$B$77,MATCH(D183,Sub_Markets!$A$5:$A$77,0)),C183)</f>
        <v>AFF02</v>
      </c>
      <c r="H183" s="6" t="s">
        <v>473</v>
      </c>
      <c r="I183" s="8" t="str">
        <f aca="false">IF(C183=G183,"Yes","No")</f>
        <v>Yes</v>
      </c>
      <c r="J183" s="17" t="n">
        <v>2645000000</v>
      </c>
      <c r="K183" s="6" t="s">
        <v>448</v>
      </c>
      <c r="L183" s="6" t="s">
        <v>449</v>
      </c>
      <c r="M183" s="6" t="s">
        <v>485</v>
      </c>
    </row>
    <row r="184" customFormat="false" ht="15" hidden="false" customHeight="false" outlineLevel="0" collapsed="false">
      <c r="A184" s="6" t="s">
        <v>893</v>
      </c>
      <c r="B184" s="6" t="s">
        <v>68</v>
      </c>
      <c r="C184" s="6" t="s">
        <v>112</v>
      </c>
      <c r="D184" s="6" t="s">
        <v>194</v>
      </c>
      <c r="E184" s="6" t="s">
        <v>894</v>
      </c>
      <c r="F184" s="17" t="n">
        <v>1500000000</v>
      </c>
      <c r="G184" s="8" t="str">
        <f aca="false">IFERROR(INDEX(Sub_Markets!$B$5:$B$77,MATCH(D184,Sub_Markets!$A$5:$A$77,0)),C184)</f>
        <v>AFF02</v>
      </c>
      <c r="H184" s="6" t="s">
        <v>473</v>
      </c>
      <c r="I184" s="8" t="str">
        <f aca="false">IF(C184=G184,"Yes","No")</f>
        <v>Yes</v>
      </c>
      <c r="J184" s="17" t="n">
        <v>1725000000</v>
      </c>
      <c r="K184" s="6" t="s">
        <v>448</v>
      </c>
      <c r="L184" s="6" t="s">
        <v>449</v>
      </c>
      <c r="M184" s="6" t="s">
        <v>895</v>
      </c>
    </row>
    <row r="185" customFormat="false" ht="15" hidden="false" customHeight="false" outlineLevel="0" collapsed="false">
      <c r="A185" s="6" t="s">
        <v>896</v>
      </c>
      <c r="B185" s="6" t="s">
        <v>68</v>
      </c>
      <c r="C185" s="6" t="s">
        <v>216</v>
      </c>
      <c r="D185" s="6" t="s">
        <v>228</v>
      </c>
      <c r="E185" s="6" t="s">
        <v>897</v>
      </c>
      <c r="F185" s="17" t="n">
        <v>8500000</v>
      </c>
      <c r="G185" s="8" t="str">
        <f aca="false">IFERROR(INDEX(Sub_Markets!$B$5:$B$77,MATCH(D185,Sub_Markets!$A$5:$A$77,0)),C185)</f>
        <v>AFF03</v>
      </c>
      <c r="H185" s="6" t="s">
        <v>473</v>
      </c>
      <c r="I185" s="8" t="str">
        <f aca="false">IF(C185=G185,"Yes","No")</f>
        <v>Yes</v>
      </c>
      <c r="J185" s="17" t="n">
        <v>9775000</v>
      </c>
      <c r="K185" s="6" t="s">
        <v>448</v>
      </c>
      <c r="L185" s="6" t="s">
        <v>449</v>
      </c>
      <c r="M185" s="6" t="s">
        <v>445</v>
      </c>
    </row>
    <row r="186" customFormat="false" ht="23.85" hidden="false" customHeight="false" outlineLevel="0" collapsed="false">
      <c r="A186" s="6" t="s">
        <v>898</v>
      </c>
      <c r="B186" s="6" t="s">
        <v>68</v>
      </c>
      <c r="C186" s="6" t="s">
        <v>216</v>
      </c>
      <c r="D186" s="6" t="s">
        <v>215</v>
      </c>
      <c r="E186" s="6" t="s">
        <v>472</v>
      </c>
      <c r="F186" s="17" t="n">
        <v>129200000</v>
      </c>
      <c r="G186" s="8" t="str">
        <f aca="false">IFERROR(INDEX(Sub_Markets!$B$5:$B$77,MATCH(D186,Sub_Markets!$A$5:$A$77,0)),C186)</f>
        <v>AFF03</v>
      </c>
      <c r="H186" s="6" t="s">
        <v>473</v>
      </c>
      <c r="I186" s="8" t="str">
        <f aca="false">IF(C186=G186,"Yes","No")</f>
        <v>Yes</v>
      </c>
      <c r="J186" s="17" t="n">
        <v>148580000</v>
      </c>
      <c r="K186" s="6" t="s">
        <v>448</v>
      </c>
      <c r="L186" s="6" t="s">
        <v>449</v>
      </c>
      <c r="M186" s="6" t="s">
        <v>474</v>
      </c>
    </row>
    <row r="187" customFormat="false" ht="23.85" hidden="false" customHeight="false" outlineLevel="0" collapsed="false">
      <c r="A187" s="6" t="s">
        <v>899</v>
      </c>
      <c r="B187" s="6" t="s">
        <v>68</v>
      </c>
      <c r="C187" s="6" t="s">
        <v>216</v>
      </c>
      <c r="D187" s="6" t="s">
        <v>219</v>
      </c>
      <c r="E187" s="6" t="s">
        <v>476</v>
      </c>
      <c r="F187" s="17" t="n">
        <v>93024000</v>
      </c>
      <c r="G187" s="8" t="str">
        <f aca="false">IFERROR(INDEX(Sub_Markets!$B$5:$B$77,MATCH(D187,Sub_Markets!$A$5:$A$77,0)),C187)</f>
        <v>AFF03</v>
      </c>
      <c r="H187" s="6" t="s">
        <v>473</v>
      </c>
      <c r="I187" s="8" t="str">
        <f aca="false">IF(C187=G187,"Yes","No")</f>
        <v>Yes</v>
      </c>
      <c r="J187" s="17" t="n">
        <v>106977600</v>
      </c>
      <c r="K187" s="6" t="s">
        <v>448</v>
      </c>
      <c r="L187" s="6" t="s">
        <v>449</v>
      </c>
      <c r="M187" s="6" t="s">
        <v>474</v>
      </c>
    </row>
    <row r="188" customFormat="false" ht="15" hidden="false" customHeight="false" outlineLevel="0" collapsed="false">
      <c r="A188" s="6" t="s">
        <v>900</v>
      </c>
      <c r="B188" s="6" t="s">
        <v>68</v>
      </c>
      <c r="C188" s="6" t="s">
        <v>216</v>
      </c>
      <c r="D188" s="6" t="s">
        <v>231</v>
      </c>
      <c r="E188" s="6" t="s">
        <v>478</v>
      </c>
      <c r="F188" s="17" t="n">
        <v>15504000</v>
      </c>
      <c r="G188" s="8" t="str">
        <f aca="false">IFERROR(INDEX(Sub_Markets!$B$5:$B$77,MATCH(D188,Sub_Markets!$A$5:$A$77,0)),C188)</f>
        <v>AFF03</v>
      </c>
      <c r="H188" s="6" t="s">
        <v>473</v>
      </c>
      <c r="I188" s="8" t="str">
        <f aca="false">IF(C188=G188,"Yes","No")</f>
        <v>Yes</v>
      </c>
      <c r="J188" s="17" t="n">
        <v>17829600</v>
      </c>
      <c r="K188" s="6" t="s">
        <v>448</v>
      </c>
      <c r="L188" s="6" t="s">
        <v>449</v>
      </c>
      <c r="M188" s="6" t="s">
        <v>474</v>
      </c>
    </row>
    <row r="189" customFormat="false" ht="15" hidden="false" customHeight="false" outlineLevel="0" collapsed="false">
      <c r="A189" s="6" t="s">
        <v>901</v>
      </c>
      <c r="B189" s="6" t="s">
        <v>68</v>
      </c>
      <c r="C189" s="6" t="s">
        <v>216</v>
      </c>
      <c r="D189" s="6" t="s">
        <v>231</v>
      </c>
      <c r="E189" s="6" t="s">
        <v>480</v>
      </c>
      <c r="F189" s="17" t="n">
        <v>5168000</v>
      </c>
      <c r="G189" s="8" t="str">
        <f aca="false">IFERROR(INDEX(Sub_Markets!$B$5:$B$77,MATCH(D189,Sub_Markets!$A$5:$A$77,0)),C189)</f>
        <v>AFF03</v>
      </c>
      <c r="H189" s="6" t="s">
        <v>473</v>
      </c>
      <c r="I189" s="8" t="str">
        <f aca="false">IF(C189=G189,"Yes","No")</f>
        <v>Yes</v>
      </c>
      <c r="J189" s="17" t="n">
        <v>5943200</v>
      </c>
      <c r="K189" s="6" t="s">
        <v>448</v>
      </c>
      <c r="L189" s="6" t="s">
        <v>449</v>
      </c>
      <c r="M189" s="6" t="s">
        <v>474</v>
      </c>
    </row>
    <row r="190" customFormat="false" ht="35.05" hidden="false" customHeight="false" outlineLevel="0" collapsed="false">
      <c r="A190" s="6" t="s">
        <v>902</v>
      </c>
      <c r="B190" s="6" t="s">
        <v>71</v>
      </c>
      <c r="C190" s="6" t="s">
        <v>175</v>
      </c>
      <c r="D190" s="6" t="s">
        <v>178</v>
      </c>
      <c r="E190" s="6" t="s">
        <v>903</v>
      </c>
      <c r="F190" s="17" t="n">
        <v>250000000</v>
      </c>
      <c r="G190" s="8" t="str">
        <f aca="false">IFERROR(INDEX(Sub_Markets!$B$5:$B$77,MATCH(D190,Sub_Markets!$A$5:$A$77,0)),C190)</f>
        <v>AFF01</v>
      </c>
      <c r="H190" s="6" t="s">
        <v>473</v>
      </c>
      <c r="I190" s="8" t="str">
        <f aca="false">IF(C190=G190,"Yes","No")</f>
        <v>Yes</v>
      </c>
      <c r="J190" s="17" t="n">
        <v>287500000</v>
      </c>
      <c r="K190" s="6" t="s">
        <v>448</v>
      </c>
      <c r="L190" s="6" t="s">
        <v>449</v>
      </c>
      <c r="M190" s="6" t="s">
        <v>904</v>
      </c>
    </row>
    <row r="191" customFormat="false" ht="23.85" hidden="false" customHeight="false" outlineLevel="0" collapsed="false">
      <c r="A191" s="6" t="s">
        <v>905</v>
      </c>
      <c r="B191" s="6" t="s">
        <v>71</v>
      </c>
      <c r="C191" s="6" t="s">
        <v>112</v>
      </c>
      <c r="D191" s="6" t="s">
        <v>194</v>
      </c>
      <c r="E191" s="6" t="s">
        <v>892</v>
      </c>
      <c r="F191" s="17" t="n">
        <v>3500000000</v>
      </c>
      <c r="G191" s="8" t="str">
        <f aca="false">IFERROR(INDEX(Sub_Markets!$B$5:$B$77,MATCH(D191,Sub_Markets!$A$5:$A$77,0)),C191)</f>
        <v>AFF02</v>
      </c>
      <c r="H191" s="6" t="s">
        <v>473</v>
      </c>
      <c r="I191" s="8" t="str">
        <f aca="false">IF(C191=G191,"Yes","No")</f>
        <v>Yes</v>
      </c>
      <c r="J191" s="17" t="n">
        <v>4025000000</v>
      </c>
      <c r="K191" s="6" t="s">
        <v>448</v>
      </c>
      <c r="L191" s="6" t="s">
        <v>449</v>
      </c>
      <c r="M191" s="6" t="s">
        <v>485</v>
      </c>
    </row>
    <row r="192" customFormat="false" ht="15" hidden="false" customHeight="false" outlineLevel="0" collapsed="false">
      <c r="A192" s="6" t="s">
        <v>906</v>
      </c>
      <c r="B192" s="6" t="s">
        <v>71</v>
      </c>
      <c r="C192" s="6" t="s">
        <v>112</v>
      </c>
      <c r="D192" s="6" t="s">
        <v>209</v>
      </c>
      <c r="E192" s="6" t="s">
        <v>907</v>
      </c>
      <c r="F192" s="17" t="n">
        <v>4000000000</v>
      </c>
      <c r="G192" s="8" t="str">
        <f aca="false">IFERROR(INDEX(Sub_Markets!$B$5:$B$77,MATCH(D192,Sub_Markets!$A$5:$A$77,0)),C192)</f>
        <v>AFF02</v>
      </c>
      <c r="H192" s="6" t="s">
        <v>473</v>
      </c>
      <c r="I192" s="8" t="str">
        <f aca="false">IF(C192=G192,"Yes","No")</f>
        <v>Yes</v>
      </c>
      <c r="J192" s="17" t="n">
        <v>4600000000</v>
      </c>
      <c r="K192" s="6" t="s">
        <v>448</v>
      </c>
      <c r="L192" s="6" t="s">
        <v>449</v>
      </c>
      <c r="M192" s="6" t="s">
        <v>485</v>
      </c>
    </row>
    <row r="193" customFormat="false" ht="15" hidden="false" customHeight="false" outlineLevel="0" collapsed="false">
      <c r="A193" s="6" t="s">
        <v>908</v>
      </c>
      <c r="B193" s="6" t="s">
        <v>71</v>
      </c>
      <c r="C193" s="6" t="s">
        <v>112</v>
      </c>
      <c r="D193" s="6" t="s">
        <v>194</v>
      </c>
      <c r="E193" s="6" t="s">
        <v>909</v>
      </c>
      <c r="F193" s="17" t="n">
        <v>2500000000</v>
      </c>
      <c r="G193" s="8" t="str">
        <f aca="false">IFERROR(INDEX(Sub_Markets!$B$5:$B$77,MATCH(D193,Sub_Markets!$A$5:$A$77,0)),C193)</f>
        <v>AFF02</v>
      </c>
      <c r="H193" s="6" t="s">
        <v>473</v>
      </c>
      <c r="I193" s="8" t="str">
        <f aca="false">IF(C193=G193,"Yes","No")</f>
        <v>Yes</v>
      </c>
      <c r="J193" s="17" t="n">
        <v>2875000000</v>
      </c>
      <c r="K193" s="6" t="s">
        <v>448</v>
      </c>
      <c r="L193" s="6" t="s">
        <v>449</v>
      </c>
      <c r="M193" s="6" t="s">
        <v>485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50"/>
    <col collapsed="false" customWidth="true" hidden="false" outlineLevel="0" max="4" min="4" style="0" width="14"/>
    <col collapsed="false" customWidth="true" hidden="false" outlineLevel="0" max="5" min="5" style="0" width="8"/>
  </cols>
  <sheetData>
    <row r="1" customFormat="false" ht="17.35" hidden="false" customHeight="false" outlineLevel="0" collapsed="false">
      <c r="A1" s="1" t="s">
        <v>910</v>
      </c>
    </row>
    <row r="2" customFormat="false" ht="15" hidden="false" customHeight="false" outlineLevel="0" collapsed="false">
      <c r="A2" s="10" t="s">
        <v>911</v>
      </c>
    </row>
    <row r="4" customFormat="false" ht="23.85" hidden="false" customHeight="false" outlineLevel="0" collapsed="false">
      <c r="A4" s="4" t="s">
        <v>20</v>
      </c>
      <c r="B4" s="4" t="s">
        <v>361</v>
      </c>
      <c r="C4" s="4" t="s">
        <v>912</v>
      </c>
      <c r="D4" s="4" t="s">
        <v>913</v>
      </c>
      <c r="E4" s="4" t="s">
        <v>914</v>
      </c>
    </row>
    <row r="5" customFormat="false" ht="15" hidden="false" customHeight="false" outlineLevel="0" collapsed="false">
      <c r="A5" s="6" t="s">
        <v>21</v>
      </c>
      <c r="B5" s="6" t="s">
        <v>121</v>
      </c>
      <c r="C5" s="6" t="s">
        <v>915</v>
      </c>
      <c r="D5" s="6" t="s">
        <v>916</v>
      </c>
      <c r="E5" s="6" t="s">
        <v>917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14"/>
    <col collapsed="false" customWidth="true" hidden="false" outlineLevel="0" max="4" min="4" style="0" width="70"/>
    <col collapsed="false" customWidth="true" hidden="false" outlineLevel="0" max="6" min="5" style="0" width="20"/>
    <col collapsed="false" customWidth="true" hidden="false" outlineLevel="0" max="7" min="7" style="0" width="60"/>
  </cols>
  <sheetData>
    <row r="1" customFormat="false" ht="17.35" hidden="false" customHeight="false" outlineLevel="0" collapsed="false">
      <c r="A1" s="1" t="s">
        <v>918</v>
      </c>
    </row>
    <row r="2" customFormat="false" ht="15" hidden="false" customHeight="false" outlineLevel="0" collapsed="false">
      <c r="A2" s="10" t="s">
        <v>919</v>
      </c>
    </row>
    <row r="4" customFormat="false" ht="23.85" hidden="false" customHeight="false" outlineLevel="0" collapsed="false">
      <c r="A4" s="4" t="s">
        <v>920</v>
      </c>
      <c r="B4" s="4" t="s">
        <v>79</v>
      </c>
      <c r="C4" s="4" t="s">
        <v>921</v>
      </c>
      <c r="D4" s="4" t="s">
        <v>922</v>
      </c>
      <c r="E4" s="4" t="s">
        <v>923</v>
      </c>
      <c r="F4" s="4" t="s">
        <v>924</v>
      </c>
      <c r="G4" s="4" t="s">
        <v>925</v>
      </c>
    </row>
    <row r="5" customFormat="false" ht="15" hidden="false" customHeight="false" outlineLevel="0" collapsed="false">
      <c r="A5" s="9" t="s">
        <v>926</v>
      </c>
      <c r="B5" s="9" t="s">
        <v>88</v>
      </c>
      <c r="C5" s="9" t="s">
        <v>927</v>
      </c>
      <c r="D5" s="9" t="s">
        <v>928</v>
      </c>
      <c r="E5" s="9" t="s">
        <v>929</v>
      </c>
      <c r="F5" s="9" t="s">
        <v>930</v>
      </c>
      <c r="G5" s="9" t="s">
        <v>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16"/>
    <col collapsed="false" customWidth="true" hidden="false" outlineLevel="0" max="6" min="4" style="0" width="12"/>
    <col collapsed="false" customWidth="true" hidden="false" outlineLevel="0" max="7" min="7" style="0" width="11"/>
    <col collapsed="false" customWidth="true" hidden="false" outlineLevel="0" max="8" min="8" style="0" width="60"/>
    <col collapsed="false" customWidth="true" hidden="false" outlineLevel="0" max="9" min="9" style="0" width="14"/>
  </cols>
  <sheetData>
    <row r="1" customFormat="false" ht="17.35" hidden="false" customHeight="false" outlineLevel="0" collapsed="false">
      <c r="A1" s="1" t="s">
        <v>931</v>
      </c>
    </row>
    <row r="2" customFormat="false" ht="15" hidden="false" customHeight="false" outlineLevel="0" collapsed="false">
      <c r="A2" s="10" t="s">
        <v>932</v>
      </c>
    </row>
    <row r="4" customFormat="false" ht="46.25" hidden="false" customHeight="false" outlineLevel="0" collapsed="false">
      <c r="A4" s="4" t="s">
        <v>920</v>
      </c>
      <c r="B4" s="4" t="s">
        <v>79</v>
      </c>
      <c r="C4" s="4" t="s">
        <v>933</v>
      </c>
      <c r="D4" s="4" t="s">
        <v>934</v>
      </c>
      <c r="E4" s="4" t="s">
        <v>935</v>
      </c>
      <c r="F4" s="4" t="s">
        <v>936</v>
      </c>
      <c r="G4" s="4" t="s">
        <v>937</v>
      </c>
      <c r="H4" s="4" t="s">
        <v>938</v>
      </c>
      <c r="I4" s="4" t="s">
        <v>939</v>
      </c>
    </row>
    <row r="5" customFormat="false" ht="15" hidden="false" customHeight="false" outlineLevel="0" collapsed="false">
      <c r="A5" s="9" t="s">
        <v>926</v>
      </c>
      <c r="B5" s="8" t="str">
        <f aca="false">IF(A5="","",IFERROR(INDEX(Evidence_Log!$B:$B,MATCH(A5,Evidence_Log!$A:$A,0)),"check ID"))</f>
        <v>SRC-01</v>
      </c>
      <c r="C5" s="9" t="s">
        <v>940</v>
      </c>
      <c r="D5" s="9" t="s">
        <v>112</v>
      </c>
      <c r="E5" s="9" t="s">
        <v>197</v>
      </c>
      <c r="F5" s="9" t="s">
        <v>141</v>
      </c>
      <c r="G5" s="9" t="s">
        <v>941</v>
      </c>
      <c r="H5" s="9" t="s">
        <v>96</v>
      </c>
      <c r="I5" s="16" t="n">
        <f aca="false">IF(OR(A5="",C5="External driver"),0,IF(COUNTIFS(D$5:D5,D5,B$5:B5,B5,C$5:C5,"&lt;&gt;External driver")=1,1,0))</f>
        <v>1</v>
      </c>
    </row>
    <row r="6" customFormat="false" ht="15" hidden="false" customHeight="false" outlineLevel="0" collapsed="false">
      <c r="B6" s="8" t="str">
        <f aca="false">IF(A6="","",IFERROR(INDEX(Evidence_Log!$B:$B,MATCH(A6,Evidence_Log!$A:$A,0)),"check ID"))</f>
        <v/>
      </c>
      <c r="I6" s="16" t="n">
        <f aca="false">IF(OR(A6="",C6="External driver"),0,IF(COUNTIFS(D$5:D6,D6,B$5:B6,B6,C$5:C6,"&lt;&gt;External driver")=1,1,0))</f>
        <v>0</v>
      </c>
    </row>
    <row r="7" customFormat="false" ht="15" hidden="false" customHeight="false" outlineLevel="0" collapsed="false">
      <c r="B7" s="8" t="str">
        <f aca="false">IF(A7="","",IFERROR(INDEX(Evidence_Log!$B:$B,MATCH(A7,Evidence_Log!$A:$A,0)),"check ID"))</f>
        <v/>
      </c>
      <c r="I7" s="16" t="n">
        <f aca="false">IF(OR(A7="",C7="External driver"),0,IF(COUNTIFS(D$5:D7,D7,B$5:B7,B7,C$5:C7,"&lt;&gt;External driver")=1,1,0))</f>
        <v>0</v>
      </c>
    </row>
    <row r="8" customFormat="false" ht="15" hidden="false" customHeight="false" outlineLevel="0" collapsed="false">
      <c r="B8" s="8" t="str">
        <f aca="false">IF(A8="","",IFERROR(INDEX(Evidence_Log!$B:$B,MATCH(A8,Evidence_Log!$A:$A,0)),"check ID"))</f>
        <v/>
      </c>
      <c r="I8" s="16" t="n">
        <f aca="false">IF(OR(A8="",C8="External driver"),0,IF(COUNTIFS(D$5:D8,D8,B$5:B8,B8,C$5:C8,"&lt;&gt;External driver")=1,1,0))</f>
        <v>0</v>
      </c>
    </row>
    <row r="9" customFormat="false" ht="15" hidden="false" customHeight="false" outlineLevel="0" collapsed="false">
      <c r="B9" s="8" t="str">
        <f aca="false">IF(A9="","",IFERROR(INDEX(Evidence_Log!$B:$B,MATCH(A9,Evidence_Log!$A:$A,0)),"check ID"))</f>
        <v/>
      </c>
      <c r="I9" s="16" t="n">
        <f aca="false">IF(OR(A9="",C9="External driver"),0,IF(COUNTIFS(D$5:D9,D9,B$5:B9,B9,C$5:C9,"&lt;&gt;External driver")=1,1,0))</f>
        <v>0</v>
      </c>
    </row>
    <row r="10" customFormat="false" ht="15" hidden="false" customHeight="false" outlineLevel="0" collapsed="false">
      <c r="B10" s="8" t="str">
        <f aca="false">IF(A10="","",IFERROR(INDEX(Evidence_Log!$B:$B,MATCH(A10,Evidence_Log!$A:$A,0)),"check ID"))</f>
        <v/>
      </c>
      <c r="I10" s="16" t="n">
        <f aca="false">IF(OR(A10="",C10="External driver"),0,IF(COUNTIFS(D$5:D10,D10,B$5:B10,B10,C$5:C10,"&lt;&gt;External driver")=1,1,0))</f>
        <v>0</v>
      </c>
    </row>
    <row r="11" customFormat="false" ht="15" hidden="false" customHeight="false" outlineLevel="0" collapsed="false">
      <c r="B11" s="8" t="str">
        <f aca="false">IF(A11="","",IFERROR(INDEX(Evidence_Log!$B:$B,MATCH(A11,Evidence_Log!$A:$A,0)),"check ID"))</f>
        <v/>
      </c>
      <c r="I11" s="16" t="n">
        <f aca="false">IF(OR(A11="",C11="External driver"),0,IF(COUNTIFS(D$5:D11,D11,B$5:B11,B11,C$5:C11,"&lt;&gt;External driver")=1,1,0))</f>
        <v>0</v>
      </c>
    </row>
    <row r="12" customFormat="false" ht="15" hidden="false" customHeight="false" outlineLevel="0" collapsed="false">
      <c r="B12" s="8" t="str">
        <f aca="false">IF(A12="","",IFERROR(INDEX(Evidence_Log!$B:$B,MATCH(A12,Evidence_Log!$A:$A,0)),"check ID"))</f>
        <v/>
      </c>
      <c r="I12" s="16" t="n">
        <f aca="false">IF(OR(A12="",C12="External driver"),0,IF(COUNTIFS(D$5:D12,D12,B$5:B12,B12,C$5:C12,"&lt;&gt;External driver")=1,1,0))</f>
        <v>0</v>
      </c>
    </row>
    <row r="13" customFormat="false" ht="15" hidden="false" customHeight="false" outlineLevel="0" collapsed="false">
      <c r="B13" s="8" t="str">
        <f aca="false">IF(A13="","",IFERROR(INDEX(Evidence_Log!$B:$B,MATCH(A13,Evidence_Log!$A:$A,0)),"check ID"))</f>
        <v/>
      </c>
      <c r="I13" s="16" t="n">
        <f aca="false">IF(OR(A13="",C13="External driver"),0,IF(COUNTIFS(D$5:D13,D13,B$5:B13,B13,C$5:C13,"&lt;&gt;External driver")=1,1,0))</f>
        <v>0</v>
      </c>
    </row>
    <row r="14" customFormat="false" ht="15" hidden="false" customHeight="false" outlineLevel="0" collapsed="false">
      <c r="B14" s="8" t="str">
        <f aca="false">IF(A14="","",IFERROR(INDEX(Evidence_Log!$B:$B,MATCH(A14,Evidence_Log!$A:$A,0)),"check ID"))</f>
        <v/>
      </c>
      <c r="I14" s="16" t="n">
        <f aca="false">IF(OR(A14="",C14="External driver"),0,IF(COUNTIFS(D$5:D14,D14,B$5:B14,B14,C$5:C14,"&lt;&gt;External driver")=1,1,0))</f>
        <v>0</v>
      </c>
    </row>
    <row r="15" customFormat="false" ht="15" hidden="false" customHeight="false" outlineLevel="0" collapsed="false">
      <c r="B15" s="8" t="str">
        <f aca="false">IF(A15="","",IFERROR(INDEX(Evidence_Log!$B:$B,MATCH(A15,Evidence_Log!$A:$A,0)),"check ID"))</f>
        <v/>
      </c>
      <c r="I15" s="16" t="n">
        <f aca="false">IF(OR(A15="",C15="External driver"),0,IF(COUNTIFS(D$5:D15,D15,B$5:B15,B15,C$5:C15,"&lt;&gt;External driver")=1,1,0))</f>
        <v>0</v>
      </c>
    </row>
    <row r="16" customFormat="false" ht="15" hidden="false" customHeight="false" outlineLevel="0" collapsed="false">
      <c r="B16" s="8" t="str">
        <f aca="false">IF(A16="","",IFERROR(INDEX(Evidence_Log!$B:$B,MATCH(A16,Evidence_Log!$A:$A,0)),"check ID"))</f>
        <v/>
      </c>
      <c r="I16" s="16" t="n">
        <f aca="false">IF(OR(A16="",C16="External driver"),0,IF(COUNTIFS(D$5:D16,D16,B$5:B16,B16,C$5:C16,"&lt;&gt;External driver")=1,1,0))</f>
        <v>0</v>
      </c>
    </row>
    <row r="17" customFormat="false" ht="15" hidden="false" customHeight="false" outlineLevel="0" collapsed="false">
      <c r="B17" s="8" t="str">
        <f aca="false">IF(A17="","",IFERROR(INDEX(Evidence_Log!$B:$B,MATCH(A17,Evidence_Log!$A:$A,0)),"check ID"))</f>
        <v/>
      </c>
      <c r="I17" s="16" t="n">
        <f aca="false">IF(OR(A17="",C17="External driver"),0,IF(COUNTIFS(D$5:D17,D17,B$5:B17,B17,C$5:C17,"&lt;&gt;External driver")=1,1,0))</f>
        <v>0</v>
      </c>
    </row>
    <row r="18" customFormat="false" ht="15" hidden="false" customHeight="false" outlineLevel="0" collapsed="false">
      <c r="B18" s="8" t="str">
        <f aca="false">IF(A18="","",IFERROR(INDEX(Evidence_Log!$B:$B,MATCH(A18,Evidence_Log!$A:$A,0)),"check ID"))</f>
        <v/>
      </c>
      <c r="I18" s="16" t="n">
        <f aca="false">IF(OR(A18="",C18="External driver"),0,IF(COUNTIFS(D$5:D18,D18,B$5:B18,B18,C$5:C18,"&lt;&gt;External driver")=1,1,0))</f>
        <v>0</v>
      </c>
    </row>
    <row r="19" customFormat="false" ht="15" hidden="false" customHeight="false" outlineLevel="0" collapsed="false">
      <c r="B19" s="8" t="str">
        <f aca="false">IF(A19="","",IFERROR(INDEX(Evidence_Log!$B:$B,MATCH(A19,Evidence_Log!$A:$A,0)),"check ID"))</f>
        <v/>
      </c>
      <c r="I19" s="16" t="n">
        <f aca="false">IF(OR(A19="",C19="External driver"),0,IF(COUNTIFS(D$5:D19,D19,B$5:B19,B19,C$5:C19,"&lt;&gt;External driver")=1,1,0))</f>
        <v>0</v>
      </c>
    </row>
    <row r="20" customFormat="false" ht="15" hidden="false" customHeight="false" outlineLevel="0" collapsed="false">
      <c r="B20" s="8" t="str">
        <f aca="false">IF(A20="","",IFERROR(INDEX(Evidence_Log!$B:$B,MATCH(A20,Evidence_Log!$A:$A,0)),"check ID"))</f>
        <v/>
      </c>
      <c r="I20" s="16" t="n">
        <f aca="false">IF(OR(A20="",C20="External driver"),0,IF(COUNTIFS(D$5:D20,D20,B$5:B20,B20,C$5:C20,"&lt;&gt;External driver")=1,1,0))</f>
        <v>0</v>
      </c>
    </row>
    <row r="21" customFormat="false" ht="15" hidden="false" customHeight="false" outlineLevel="0" collapsed="false">
      <c r="B21" s="8" t="str">
        <f aca="false">IF(A21="","",IFERROR(INDEX(Evidence_Log!$B:$B,MATCH(A21,Evidence_Log!$A:$A,0)),"check ID"))</f>
        <v/>
      </c>
      <c r="I21" s="16" t="n">
        <f aca="false">IF(OR(A21="",C21="External driver"),0,IF(COUNTIFS(D$5:D21,D21,B$5:B21,B21,C$5:C21,"&lt;&gt;External driver")=1,1,0))</f>
        <v>0</v>
      </c>
    </row>
    <row r="22" customFormat="false" ht="15" hidden="false" customHeight="false" outlineLevel="0" collapsed="false">
      <c r="B22" s="8" t="str">
        <f aca="false">IF(A22="","",IFERROR(INDEX(Evidence_Log!$B:$B,MATCH(A22,Evidence_Log!$A:$A,0)),"check ID"))</f>
        <v/>
      </c>
      <c r="I22" s="16" t="n">
        <f aca="false">IF(OR(A22="",C22="External driver"),0,IF(COUNTIFS(D$5:D22,D22,B$5:B22,B22,C$5:C22,"&lt;&gt;External driver")=1,1,0))</f>
        <v>0</v>
      </c>
    </row>
    <row r="23" customFormat="false" ht="15" hidden="false" customHeight="false" outlineLevel="0" collapsed="false">
      <c r="B23" s="8" t="str">
        <f aca="false">IF(A23="","",IFERROR(INDEX(Evidence_Log!$B:$B,MATCH(A23,Evidence_Log!$A:$A,0)),"check ID"))</f>
        <v/>
      </c>
      <c r="I23" s="16" t="n">
        <f aca="false">IF(OR(A23="",C23="External driver"),0,IF(COUNTIFS(D$5:D23,D23,B$5:B23,B23,C$5:C23,"&lt;&gt;External driver")=1,1,0))</f>
        <v>0</v>
      </c>
    </row>
    <row r="24" customFormat="false" ht="15" hidden="false" customHeight="false" outlineLevel="0" collapsed="false">
      <c r="B24" s="8" t="str">
        <f aca="false">IF(A24="","",IFERROR(INDEX(Evidence_Log!$B:$B,MATCH(A24,Evidence_Log!$A:$A,0)),"check ID"))</f>
        <v/>
      </c>
      <c r="I24" s="16" t="n">
        <f aca="false">IF(OR(A24="",C24="External driver"),0,IF(COUNTIFS(D$5:D24,D24,B$5:B24,B24,C$5:C24,"&lt;&gt;External driver")=1,1,0))</f>
        <v>0</v>
      </c>
    </row>
    <row r="25" customFormat="false" ht="15" hidden="false" customHeight="false" outlineLevel="0" collapsed="false">
      <c r="B25" s="8" t="str">
        <f aca="false">IF(A25="","",IFERROR(INDEX(Evidence_Log!$B:$B,MATCH(A25,Evidence_Log!$A:$A,0)),"check ID"))</f>
        <v/>
      </c>
      <c r="I25" s="16" t="n">
        <f aca="false">IF(OR(A25="",C25="External driver"),0,IF(COUNTIFS(D$5:D25,D25,B$5:B25,B25,C$5:C25,"&lt;&gt;External driver")=1,1,0))</f>
        <v>0</v>
      </c>
    </row>
    <row r="26" customFormat="false" ht="15" hidden="false" customHeight="false" outlineLevel="0" collapsed="false">
      <c r="B26" s="8" t="str">
        <f aca="false">IF(A26="","",IFERROR(INDEX(Evidence_Log!$B:$B,MATCH(A26,Evidence_Log!$A:$A,0)),"check ID"))</f>
        <v/>
      </c>
      <c r="I26" s="16" t="n">
        <f aca="false">IF(OR(A26="",C26="External driver"),0,IF(COUNTIFS(D$5:D26,D26,B$5:B26,B26,C$5:C26,"&lt;&gt;External driver")=1,1,0))</f>
        <v>0</v>
      </c>
    </row>
    <row r="27" customFormat="false" ht="15" hidden="false" customHeight="false" outlineLevel="0" collapsed="false">
      <c r="B27" s="8" t="str">
        <f aca="false">IF(A27="","",IFERROR(INDEX(Evidence_Log!$B:$B,MATCH(A27,Evidence_Log!$A:$A,0)),"check ID"))</f>
        <v/>
      </c>
      <c r="I27" s="16" t="n">
        <f aca="false">IF(OR(A27="",C27="External driver"),0,IF(COUNTIFS(D$5:D27,D27,B$5:B27,B27,C$5:C27,"&lt;&gt;External driver")=1,1,0))</f>
        <v>0</v>
      </c>
    </row>
    <row r="28" customFormat="false" ht="15" hidden="false" customHeight="false" outlineLevel="0" collapsed="false">
      <c r="B28" s="8" t="str">
        <f aca="false">IF(A28="","",IFERROR(INDEX(Evidence_Log!$B:$B,MATCH(A28,Evidence_Log!$A:$A,0)),"check ID"))</f>
        <v/>
      </c>
      <c r="I28" s="16" t="n">
        <f aca="false">IF(OR(A28="",C28="External driver"),0,IF(COUNTIFS(D$5:D28,D28,B$5:B28,B28,C$5:C28,"&lt;&gt;External driver")=1,1,0))</f>
        <v>0</v>
      </c>
    </row>
    <row r="29" customFormat="false" ht="15" hidden="false" customHeight="false" outlineLevel="0" collapsed="false">
      <c r="B29" s="8" t="str">
        <f aca="false">IF(A29="","",IFERROR(INDEX(Evidence_Log!$B:$B,MATCH(A29,Evidence_Log!$A:$A,0)),"check ID"))</f>
        <v/>
      </c>
      <c r="I29" s="16" t="n">
        <f aca="false">IF(OR(A29="",C29="External driver"),0,IF(COUNTIFS(D$5:D29,D29,B$5:B29,B29,C$5:C29,"&lt;&gt;External driver")=1,1,0))</f>
        <v>0</v>
      </c>
    </row>
    <row r="30" customFormat="false" ht="15" hidden="false" customHeight="false" outlineLevel="0" collapsed="false">
      <c r="B30" s="8" t="str">
        <f aca="false">IF(A30="","",IFERROR(INDEX(Evidence_Log!$B:$B,MATCH(A30,Evidence_Log!$A:$A,0)),"check ID"))</f>
        <v/>
      </c>
      <c r="I30" s="16" t="n">
        <f aca="false">IF(OR(A30="",C30="External driver"),0,IF(COUNTIFS(D$5:D30,D30,B$5:B30,B30,C$5:C30,"&lt;&gt;External driver")=1,1,0))</f>
        <v>0</v>
      </c>
    </row>
    <row r="31" customFormat="false" ht="15" hidden="false" customHeight="false" outlineLevel="0" collapsed="false">
      <c r="B31" s="8" t="str">
        <f aca="false">IF(A31="","",IFERROR(INDEX(Evidence_Log!$B:$B,MATCH(A31,Evidence_Log!$A:$A,0)),"check ID"))</f>
        <v/>
      </c>
      <c r="I31" s="16" t="n">
        <f aca="false">IF(OR(A31="",C31="External driver"),0,IF(COUNTIFS(D$5:D31,D31,B$5:B31,B31,C$5:C31,"&lt;&gt;External driver")=1,1,0))</f>
        <v>0</v>
      </c>
    </row>
    <row r="32" customFormat="false" ht="15" hidden="false" customHeight="false" outlineLevel="0" collapsed="false">
      <c r="B32" s="8" t="str">
        <f aca="false">IF(A32="","",IFERROR(INDEX(Evidence_Log!$B:$B,MATCH(A32,Evidence_Log!$A:$A,0)),"check ID"))</f>
        <v/>
      </c>
      <c r="I32" s="16" t="n">
        <f aca="false">IF(OR(A32="",C32="External driver"),0,IF(COUNTIFS(D$5:D32,D32,B$5:B32,B32,C$5:C32,"&lt;&gt;External driver")=1,1,0))</f>
        <v>0</v>
      </c>
    </row>
    <row r="33" customFormat="false" ht="15" hidden="false" customHeight="false" outlineLevel="0" collapsed="false">
      <c r="B33" s="8" t="str">
        <f aca="false">IF(A33="","",IFERROR(INDEX(Evidence_Log!$B:$B,MATCH(A33,Evidence_Log!$A:$A,0)),"check ID"))</f>
        <v/>
      </c>
      <c r="I33" s="16" t="n">
        <f aca="false">IF(OR(A33="",C33="External driver"),0,IF(COUNTIFS(D$5:D33,D33,B$5:B33,B33,C$5:C33,"&lt;&gt;External driver")=1,1,0))</f>
        <v>0</v>
      </c>
    </row>
    <row r="34" customFormat="false" ht="15" hidden="false" customHeight="false" outlineLevel="0" collapsed="false">
      <c r="B34" s="8" t="str">
        <f aca="false">IF(A34="","",IFERROR(INDEX(Evidence_Log!$B:$B,MATCH(A34,Evidence_Log!$A:$A,0)),"check ID"))</f>
        <v/>
      </c>
      <c r="I34" s="16" t="n">
        <f aca="false">IF(OR(A34="",C34="External driver"),0,IF(COUNTIFS(D$5:D34,D34,B$5:B34,B34,C$5:C34,"&lt;&gt;External driver")=1,1,0))</f>
        <v>0</v>
      </c>
    </row>
    <row r="35" customFormat="false" ht="15" hidden="false" customHeight="false" outlineLevel="0" collapsed="false">
      <c r="B35" s="8" t="str">
        <f aca="false">IF(A35="","",IFERROR(INDEX(Evidence_Log!$B:$B,MATCH(A35,Evidence_Log!$A:$A,0)),"check ID"))</f>
        <v/>
      </c>
      <c r="I35" s="16" t="n">
        <f aca="false">IF(OR(A35="",C35="External driver"),0,IF(COUNTIFS(D$5:D35,D35,B$5:B35,B35,C$5:C35,"&lt;&gt;External driver")=1,1,0))</f>
        <v>0</v>
      </c>
    </row>
    <row r="36" customFormat="false" ht="15" hidden="false" customHeight="false" outlineLevel="0" collapsed="false">
      <c r="B36" s="8" t="str">
        <f aca="false">IF(A36="","",IFERROR(INDEX(Evidence_Log!$B:$B,MATCH(A36,Evidence_Log!$A:$A,0)),"check ID"))</f>
        <v/>
      </c>
      <c r="I36" s="16" t="n">
        <f aca="false">IF(OR(A36="",C36="External driver"),0,IF(COUNTIFS(D$5:D36,D36,B$5:B36,B36,C$5:C36,"&lt;&gt;External driver")=1,1,0))</f>
        <v>0</v>
      </c>
    </row>
    <row r="37" customFormat="false" ht="15" hidden="false" customHeight="false" outlineLevel="0" collapsed="false">
      <c r="B37" s="8" t="str">
        <f aca="false">IF(A37="","",IFERROR(INDEX(Evidence_Log!$B:$B,MATCH(A37,Evidence_Log!$A:$A,0)),"check ID"))</f>
        <v/>
      </c>
      <c r="I37" s="16" t="n">
        <f aca="false">IF(OR(A37="",C37="External driver"),0,IF(COUNTIFS(D$5:D37,D37,B$5:B37,B37,C$5:C37,"&lt;&gt;External driver")=1,1,0))</f>
        <v>0</v>
      </c>
    </row>
    <row r="38" customFormat="false" ht="15" hidden="false" customHeight="false" outlineLevel="0" collapsed="false">
      <c r="B38" s="8" t="str">
        <f aca="false">IF(A38="","",IFERROR(INDEX(Evidence_Log!$B:$B,MATCH(A38,Evidence_Log!$A:$A,0)),"check ID"))</f>
        <v/>
      </c>
      <c r="I38" s="16" t="n">
        <f aca="false">IF(OR(A38="",C38="External driver"),0,IF(COUNTIFS(D$5:D38,D38,B$5:B38,B38,C$5:C38,"&lt;&gt;External driver")=1,1,0))</f>
        <v>0</v>
      </c>
    </row>
    <row r="39" customFormat="false" ht="15" hidden="false" customHeight="false" outlineLevel="0" collapsed="false">
      <c r="B39" s="8" t="str">
        <f aca="false">IF(A39="","",IFERROR(INDEX(Evidence_Log!$B:$B,MATCH(A39,Evidence_Log!$A:$A,0)),"check ID"))</f>
        <v/>
      </c>
      <c r="I39" s="16" t="n">
        <f aca="false">IF(OR(A39="",C39="External driver"),0,IF(COUNTIFS(D$5:D39,D39,B$5:B39,B39,C$5:C39,"&lt;&gt;External driver")=1,1,0))</f>
        <v>0</v>
      </c>
    </row>
    <row r="40" customFormat="false" ht="15" hidden="false" customHeight="false" outlineLevel="0" collapsed="false">
      <c r="B40" s="8" t="str">
        <f aca="false">IF(A40="","",IFERROR(INDEX(Evidence_Log!$B:$B,MATCH(A40,Evidence_Log!$A:$A,0)),"check ID"))</f>
        <v/>
      </c>
      <c r="I40" s="16" t="n">
        <f aca="false">IF(OR(A40="",C40="External driver"),0,IF(COUNTIFS(D$5:D40,D40,B$5:B40,B40,C$5:C40,"&lt;&gt;External driver")=1,1,0))</f>
        <v>0</v>
      </c>
    </row>
    <row r="41" customFormat="false" ht="15" hidden="false" customHeight="false" outlineLevel="0" collapsed="false">
      <c r="B41" s="8" t="str">
        <f aca="false">IF(A41="","",IFERROR(INDEX(Evidence_Log!$B:$B,MATCH(A41,Evidence_Log!$A:$A,0)),"check ID"))</f>
        <v/>
      </c>
      <c r="I41" s="16" t="n">
        <f aca="false">IF(OR(A41="",C41="External driver"),0,IF(COUNTIFS(D$5:D41,D41,B$5:B41,B41,C$5:C41,"&lt;&gt;External driver")=1,1,0))</f>
        <v>0</v>
      </c>
    </row>
    <row r="42" customFormat="false" ht="15" hidden="false" customHeight="false" outlineLevel="0" collapsed="false">
      <c r="B42" s="8" t="str">
        <f aca="false">IF(A42="","",IFERROR(INDEX(Evidence_Log!$B:$B,MATCH(A42,Evidence_Log!$A:$A,0)),"check ID"))</f>
        <v/>
      </c>
      <c r="I42" s="16" t="n">
        <f aca="false">IF(OR(A42="",C42="External driver"),0,IF(COUNTIFS(D$5:D42,D42,B$5:B42,B42,C$5:C42,"&lt;&gt;External driver")=1,1,0))</f>
        <v>0</v>
      </c>
    </row>
    <row r="43" customFormat="false" ht="15" hidden="false" customHeight="false" outlineLevel="0" collapsed="false">
      <c r="B43" s="8" t="str">
        <f aca="false">IF(A43="","",IFERROR(INDEX(Evidence_Log!$B:$B,MATCH(A43,Evidence_Log!$A:$A,0)),"check ID"))</f>
        <v/>
      </c>
      <c r="I43" s="16" t="n">
        <f aca="false">IF(OR(A43="",C43="External driver"),0,IF(COUNTIFS(D$5:D43,D43,B$5:B43,B43,C$5:C43,"&lt;&gt;External driver")=1,1,0))</f>
        <v>0</v>
      </c>
    </row>
    <row r="44" customFormat="false" ht="15" hidden="false" customHeight="false" outlineLevel="0" collapsed="false">
      <c r="B44" s="8" t="str">
        <f aca="false">IF(A44="","",IFERROR(INDEX(Evidence_Log!$B:$B,MATCH(A44,Evidence_Log!$A:$A,0)),"check ID"))</f>
        <v/>
      </c>
      <c r="I44" s="16" t="n">
        <f aca="false">IF(OR(A44="",C44="External driver"),0,IF(COUNTIFS(D$5:D44,D44,B$5:B44,B44,C$5:C44,"&lt;&gt;External driver")=1,1,0))</f>
        <v>0</v>
      </c>
    </row>
    <row r="45" customFormat="false" ht="15" hidden="false" customHeight="false" outlineLevel="0" collapsed="false">
      <c r="B45" s="8" t="str">
        <f aca="false">IF(A45="","",IFERROR(INDEX(Evidence_Log!$B:$B,MATCH(A45,Evidence_Log!$A:$A,0)),"check ID"))</f>
        <v/>
      </c>
      <c r="I45" s="16" t="n">
        <f aca="false">IF(OR(A45="",C45="External driver"),0,IF(COUNTIFS(D$5:D45,D45,B$5:B45,B45,C$5:C45,"&lt;&gt;External driver")=1,1,0))</f>
        <v>0</v>
      </c>
    </row>
    <row r="46" customFormat="false" ht="15" hidden="false" customHeight="false" outlineLevel="0" collapsed="false">
      <c r="B46" s="8" t="str">
        <f aca="false">IF(A46="","",IFERROR(INDEX(Evidence_Log!$B:$B,MATCH(A46,Evidence_Log!$A:$A,0)),"check ID"))</f>
        <v/>
      </c>
      <c r="I46" s="16" t="n">
        <f aca="false">IF(OR(A46="",C46="External driver"),0,IF(COUNTIFS(D$5:D46,D46,B$5:B46,B46,C$5:C46,"&lt;&gt;External driver")=1,1,0))</f>
        <v>0</v>
      </c>
    </row>
    <row r="47" customFormat="false" ht="15" hidden="false" customHeight="false" outlineLevel="0" collapsed="false">
      <c r="B47" s="8" t="str">
        <f aca="false">IF(A47="","",IFERROR(INDEX(Evidence_Log!$B:$B,MATCH(A47,Evidence_Log!$A:$A,0)),"check ID"))</f>
        <v/>
      </c>
      <c r="I47" s="16" t="n">
        <f aca="false">IF(OR(A47="",C47="External driver"),0,IF(COUNTIFS(D$5:D47,D47,B$5:B47,B47,C$5:C47,"&lt;&gt;External driver")=1,1,0))</f>
        <v>0</v>
      </c>
    </row>
    <row r="48" customFormat="false" ht="15" hidden="false" customHeight="false" outlineLevel="0" collapsed="false">
      <c r="B48" s="8" t="str">
        <f aca="false">IF(A48="","",IFERROR(INDEX(Evidence_Log!$B:$B,MATCH(A48,Evidence_Log!$A:$A,0)),"check ID"))</f>
        <v/>
      </c>
      <c r="I48" s="16" t="n">
        <f aca="false">IF(OR(A48="",C48="External driver"),0,IF(COUNTIFS(D$5:D48,D48,B$5:B48,B48,C$5:C48,"&lt;&gt;External driver")=1,1,0))</f>
        <v>0</v>
      </c>
    </row>
    <row r="49" customFormat="false" ht="15" hidden="false" customHeight="false" outlineLevel="0" collapsed="false">
      <c r="B49" s="8" t="str">
        <f aca="false">IF(A49="","",IFERROR(INDEX(Evidence_Log!$B:$B,MATCH(A49,Evidence_Log!$A:$A,0)),"check ID"))</f>
        <v/>
      </c>
      <c r="I49" s="16" t="n">
        <f aca="false">IF(OR(A49="",C49="External driver"),0,IF(COUNTIFS(D$5:D49,D49,B$5:B49,B49,C$5:C49,"&lt;&gt;External driver")=1,1,0))</f>
        <v>0</v>
      </c>
    </row>
    <row r="50" customFormat="false" ht="15" hidden="false" customHeight="false" outlineLevel="0" collapsed="false">
      <c r="B50" s="8" t="str">
        <f aca="false">IF(A50="","",IFERROR(INDEX(Evidence_Log!$B:$B,MATCH(A50,Evidence_Log!$A:$A,0)),"check ID"))</f>
        <v/>
      </c>
      <c r="I50" s="16" t="n">
        <f aca="false">IF(OR(A50="",C50="External driver"),0,IF(COUNTIFS(D$5:D50,D50,B$5:B50,B50,C$5:C50,"&lt;&gt;External driver")=1,1,0))</f>
        <v>0</v>
      </c>
    </row>
    <row r="51" customFormat="false" ht="15" hidden="false" customHeight="false" outlineLevel="0" collapsed="false">
      <c r="B51" s="8" t="str">
        <f aca="false">IF(A51="","",IFERROR(INDEX(Evidence_Log!$B:$B,MATCH(A51,Evidence_Log!$A:$A,0)),"check ID"))</f>
        <v/>
      </c>
      <c r="I51" s="16" t="n">
        <f aca="false">IF(OR(A51="",C51="External driver"),0,IF(COUNTIFS(D$5:D51,D51,B$5:B51,B51,C$5:C51,"&lt;&gt;External driver")=1,1,0))</f>
        <v>0</v>
      </c>
    </row>
    <row r="52" customFormat="false" ht="15" hidden="false" customHeight="false" outlineLevel="0" collapsed="false">
      <c r="B52" s="8" t="str">
        <f aca="false">IF(A52="","",IFERROR(INDEX(Evidence_Log!$B:$B,MATCH(A52,Evidence_Log!$A:$A,0)),"check ID"))</f>
        <v/>
      </c>
      <c r="I52" s="16" t="n">
        <f aca="false">IF(OR(A52="",C52="External driver"),0,IF(COUNTIFS(D$5:D52,D52,B$5:B52,B52,C$5:C52,"&lt;&gt;External driver")=1,1,0))</f>
        <v>0</v>
      </c>
    </row>
    <row r="53" customFormat="false" ht="15" hidden="false" customHeight="false" outlineLevel="0" collapsed="false">
      <c r="B53" s="8" t="str">
        <f aca="false">IF(A53="","",IFERROR(INDEX(Evidence_Log!$B:$B,MATCH(A53,Evidence_Log!$A:$A,0)),"check ID"))</f>
        <v/>
      </c>
      <c r="I53" s="16" t="n">
        <f aca="false">IF(OR(A53="",C53="External driver"),0,IF(COUNTIFS(D$5:D53,D53,B$5:B53,B53,C$5:C53,"&lt;&gt;External driver")=1,1,0))</f>
        <v>0</v>
      </c>
    </row>
    <row r="54" customFormat="false" ht="15" hidden="false" customHeight="false" outlineLevel="0" collapsed="false">
      <c r="B54" s="8" t="str">
        <f aca="false">IF(A54="","",IFERROR(INDEX(Evidence_Log!$B:$B,MATCH(A54,Evidence_Log!$A:$A,0)),"check ID"))</f>
        <v/>
      </c>
      <c r="I54" s="16" t="n">
        <f aca="false">IF(OR(A54="",C54="External driver"),0,IF(COUNTIFS(D$5:D54,D54,B$5:B54,B54,C$5:C54,"&lt;&gt;External driver")=1,1,0))</f>
        <v>0</v>
      </c>
    </row>
    <row r="55" customFormat="false" ht="15" hidden="false" customHeight="false" outlineLevel="0" collapsed="false">
      <c r="B55" s="8" t="str">
        <f aca="false">IF(A55="","",IFERROR(INDEX(Evidence_Log!$B:$B,MATCH(A55,Evidence_Log!$A:$A,0)),"check ID"))</f>
        <v/>
      </c>
      <c r="I55" s="16" t="n">
        <f aca="false">IF(OR(A55="",C55="External driver"),0,IF(COUNTIFS(D$5:D55,D55,B$5:B55,B55,C$5:C55,"&lt;&gt;External driver")=1,1,0))</f>
        <v>0</v>
      </c>
    </row>
    <row r="56" customFormat="false" ht="15" hidden="false" customHeight="false" outlineLevel="0" collapsed="false">
      <c r="B56" s="8" t="str">
        <f aca="false">IF(A56="","",IFERROR(INDEX(Evidence_Log!$B:$B,MATCH(A56,Evidence_Log!$A:$A,0)),"check ID"))</f>
        <v/>
      </c>
      <c r="I56" s="16" t="n">
        <f aca="false">IF(OR(A56="",C56="External driver"),0,IF(COUNTIFS(D$5:D56,D56,B$5:B56,B56,C$5:C56,"&lt;&gt;External driver")=1,1,0))</f>
        <v>0</v>
      </c>
    </row>
    <row r="57" customFormat="false" ht="15" hidden="false" customHeight="false" outlineLevel="0" collapsed="false">
      <c r="B57" s="8" t="str">
        <f aca="false">IF(A57="","",IFERROR(INDEX(Evidence_Log!$B:$B,MATCH(A57,Evidence_Log!$A:$A,0)),"check ID"))</f>
        <v/>
      </c>
      <c r="I57" s="16" t="n">
        <f aca="false">IF(OR(A57="",C57="External driver"),0,IF(COUNTIFS(D$5:D57,D57,B$5:B57,B57,C$5:C57,"&lt;&gt;External driver")=1,1,0))</f>
        <v>0</v>
      </c>
    </row>
    <row r="58" customFormat="false" ht="15" hidden="false" customHeight="false" outlineLevel="0" collapsed="false">
      <c r="B58" s="8" t="str">
        <f aca="false">IF(A58="","",IFERROR(INDEX(Evidence_Log!$B:$B,MATCH(A58,Evidence_Log!$A:$A,0)),"check ID"))</f>
        <v/>
      </c>
      <c r="I58" s="16" t="n">
        <f aca="false">IF(OR(A58="",C58="External driver"),0,IF(COUNTIFS(D$5:D58,D58,B$5:B58,B58,C$5:C58,"&lt;&gt;External driver")=1,1,0))</f>
        <v>0</v>
      </c>
    </row>
    <row r="59" customFormat="false" ht="15" hidden="false" customHeight="false" outlineLevel="0" collapsed="false">
      <c r="B59" s="8" t="str">
        <f aca="false">IF(A59="","",IFERROR(INDEX(Evidence_Log!$B:$B,MATCH(A59,Evidence_Log!$A:$A,0)),"check ID"))</f>
        <v/>
      </c>
      <c r="I59" s="16" t="n">
        <f aca="false">IF(OR(A59="",C59="External driver"),0,IF(COUNTIFS(D$5:D59,D59,B$5:B59,B59,C$5:C59,"&lt;&gt;External driver")=1,1,0))</f>
        <v>0</v>
      </c>
    </row>
    <row r="60" customFormat="false" ht="15" hidden="false" customHeight="false" outlineLevel="0" collapsed="false">
      <c r="B60" s="8" t="str">
        <f aca="false">IF(A60="","",IFERROR(INDEX(Evidence_Log!$B:$B,MATCH(A60,Evidence_Log!$A:$A,0)),"check ID"))</f>
        <v/>
      </c>
      <c r="I60" s="16" t="n">
        <f aca="false">IF(OR(A60="",C60="External driver"),0,IF(COUNTIFS(D$5:D60,D60,B$5:B60,B60,C$5:C60,"&lt;&gt;External driver")=1,1,0))</f>
        <v>0</v>
      </c>
    </row>
    <row r="61" customFormat="false" ht="15" hidden="false" customHeight="false" outlineLevel="0" collapsed="false">
      <c r="B61" s="8" t="str">
        <f aca="false">IF(A61="","",IFERROR(INDEX(Evidence_Log!$B:$B,MATCH(A61,Evidence_Log!$A:$A,0)),"check ID"))</f>
        <v/>
      </c>
      <c r="I61" s="16" t="n">
        <f aca="false">IF(OR(A61="",C61="External driver"),0,IF(COUNTIFS(D$5:D61,D61,B$5:B61,B61,C$5:C61,"&lt;&gt;External driver")=1,1,0))</f>
        <v>0</v>
      </c>
    </row>
    <row r="62" customFormat="false" ht="15" hidden="false" customHeight="false" outlineLevel="0" collapsed="false">
      <c r="B62" s="8" t="str">
        <f aca="false">IF(A62="","",IFERROR(INDEX(Evidence_Log!$B:$B,MATCH(A62,Evidence_Log!$A:$A,0)),"check ID"))</f>
        <v/>
      </c>
      <c r="I62" s="16" t="n">
        <f aca="false">IF(OR(A62="",C62="External driver"),0,IF(COUNTIFS(D$5:D62,D62,B$5:B62,B62,C$5:C62,"&lt;&gt;External driver")=1,1,0))</f>
        <v>0</v>
      </c>
    </row>
    <row r="63" customFormat="false" ht="15" hidden="false" customHeight="false" outlineLevel="0" collapsed="false">
      <c r="B63" s="8" t="str">
        <f aca="false">IF(A63="","",IFERROR(INDEX(Evidence_Log!$B:$B,MATCH(A63,Evidence_Log!$A:$A,0)),"check ID"))</f>
        <v/>
      </c>
      <c r="I63" s="16" t="n">
        <f aca="false">IF(OR(A63="",C63="External driver"),0,IF(COUNTIFS(D$5:D63,D63,B$5:B63,B63,C$5:C63,"&lt;&gt;External driver")=1,1,0))</f>
        <v>0</v>
      </c>
    </row>
    <row r="64" customFormat="false" ht="15" hidden="false" customHeight="false" outlineLevel="0" collapsed="false">
      <c r="B64" s="8" t="str">
        <f aca="false">IF(A64="","",IFERROR(INDEX(Evidence_Log!$B:$B,MATCH(A64,Evidence_Log!$A:$A,0)),"check ID"))</f>
        <v/>
      </c>
      <c r="I64" s="16" t="n">
        <f aca="false">IF(OR(A64="",C64="External driver"),0,IF(COUNTIFS(D$5:D64,D64,B$5:B64,B64,C$5:C64,"&lt;&gt;External driver")=1,1,0))</f>
        <v>0</v>
      </c>
    </row>
    <row r="65" customFormat="false" ht="15" hidden="false" customHeight="false" outlineLevel="0" collapsed="false">
      <c r="B65" s="8" t="str">
        <f aca="false">IF(A65="","",IFERROR(INDEX(Evidence_Log!$B:$B,MATCH(A65,Evidence_Log!$A:$A,0)),"check ID"))</f>
        <v/>
      </c>
      <c r="I65" s="16" t="n">
        <f aca="false">IF(OR(A65="",C65="External driver"),0,IF(COUNTIFS(D$5:D65,D65,B$5:B65,B65,C$5:C65,"&lt;&gt;External driver")=1,1,0))</f>
        <v>0</v>
      </c>
    </row>
    <row r="66" customFormat="false" ht="15" hidden="false" customHeight="false" outlineLevel="0" collapsed="false">
      <c r="B66" s="8" t="str">
        <f aca="false">IF(A66="","",IFERROR(INDEX(Evidence_Log!$B:$B,MATCH(A66,Evidence_Log!$A:$A,0)),"check ID"))</f>
        <v/>
      </c>
      <c r="I66" s="16" t="n">
        <f aca="false">IF(OR(A66="",C66="External driver"),0,IF(COUNTIFS(D$5:D66,D66,B$5:B66,B66,C$5:C66,"&lt;&gt;External driver")=1,1,0))</f>
        <v>0</v>
      </c>
    </row>
    <row r="67" customFormat="false" ht="15" hidden="false" customHeight="false" outlineLevel="0" collapsed="false">
      <c r="B67" s="8" t="str">
        <f aca="false">IF(A67="","",IFERROR(INDEX(Evidence_Log!$B:$B,MATCH(A67,Evidence_Log!$A:$A,0)),"check ID"))</f>
        <v/>
      </c>
      <c r="I67" s="16" t="n">
        <f aca="false">IF(OR(A67="",C67="External driver"),0,IF(COUNTIFS(D$5:D67,D67,B$5:B67,B67,C$5:C67,"&lt;&gt;External driver")=1,1,0))</f>
        <v>0</v>
      </c>
    </row>
    <row r="68" customFormat="false" ht="15" hidden="false" customHeight="false" outlineLevel="0" collapsed="false">
      <c r="B68" s="8" t="str">
        <f aca="false">IF(A68="","",IFERROR(INDEX(Evidence_Log!$B:$B,MATCH(A68,Evidence_Log!$A:$A,0)),"check ID"))</f>
        <v/>
      </c>
      <c r="I68" s="16" t="n">
        <f aca="false">IF(OR(A68="",C68="External driver"),0,IF(COUNTIFS(D$5:D68,D68,B$5:B68,B68,C$5:C68,"&lt;&gt;External driver")=1,1,0))</f>
        <v>0</v>
      </c>
    </row>
    <row r="69" customFormat="false" ht="15" hidden="false" customHeight="false" outlineLevel="0" collapsed="false">
      <c r="B69" s="8" t="str">
        <f aca="false">IF(A69="","",IFERROR(INDEX(Evidence_Log!$B:$B,MATCH(A69,Evidence_Log!$A:$A,0)),"check ID"))</f>
        <v/>
      </c>
      <c r="I69" s="16" t="n">
        <f aca="false">IF(OR(A69="",C69="External driver"),0,IF(COUNTIFS(D$5:D69,D69,B$5:B69,B69,C$5:C69,"&lt;&gt;External driver")=1,1,0))</f>
        <v>0</v>
      </c>
    </row>
    <row r="70" customFormat="false" ht="15" hidden="false" customHeight="false" outlineLevel="0" collapsed="false">
      <c r="B70" s="8" t="str">
        <f aca="false">IF(A70="","",IFERROR(INDEX(Evidence_Log!$B:$B,MATCH(A70,Evidence_Log!$A:$A,0)),"check ID"))</f>
        <v/>
      </c>
      <c r="I70" s="16" t="n">
        <f aca="false">IF(OR(A70="",C70="External driver"),0,IF(COUNTIFS(D$5:D70,D70,B$5:B70,B70,C$5:C70,"&lt;&gt;External driver")=1,1,0))</f>
        <v>0</v>
      </c>
    </row>
    <row r="71" customFormat="false" ht="15" hidden="false" customHeight="false" outlineLevel="0" collapsed="false">
      <c r="B71" s="8" t="str">
        <f aca="false">IF(A71="","",IFERROR(INDEX(Evidence_Log!$B:$B,MATCH(A71,Evidence_Log!$A:$A,0)),"check ID"))</f>
        <v/>
      </c>
      <c r="I71" s="16" t="n">
        <f aca="false">IF(OR(A71="",C71="External driver"),0,IF(COUNTIFS(D$5:D71,D71,B$5:B71,B71,C$5:C71,"&lt;&gt;External driver")=1,1,0))</f>
        <v>0</v>
      </c>
    </row>
    <row r="72" customFormat="false" ht="15" hidden="false" customHeight="false" outlineLevel="0" collapsed="false">
      <c r="B72" s="8" t="str">
        <f aca="false">IF(A72="","",IFERROR(INDEX(Evidence_Log!$B:$B,MATCH(A72,Evidence_Log!$A:$A,0)),"check ID"))</f>
        <v/>
      </c>
      <c r="I72" s="16" t="n">
        <f aca="false">IF(OR(A72="",C72="External driver"),0,IF(COUNTIFS(D$5:D72,D72,B$5:B72,B72,C$5:C72,"&lt;&gt;External driver")=1,1,0))</f>
        <v>0</v>
      </c>
    </row>
    <row r="73" customFormat="false" ht="15" hidden="false" customHeight="false" outlineLevel="0" collapsed="false">
      <c r="B73" s="8" t="str">
        <f aca="false">IF(A73="","",IFERROR(INDEX(Evidence_Log!$B:$B,MATCH(A73,Evidence_Log!$A:$A,0)),"check ID"))</f>
        <v/>
      </c>
      <c r="I73" s="16" t="n">
        <f aca="false">IF(OR(A73="",C73="External driver"),0,IF(COUNTIFS(D$5:D73,D73,B$5:B73,B73,C$5:C73,"&lt;&gt;External driver")=1,1,0))</f>
        <v>0</v>
      </c>
    </row>
    <row r="74" customFormat="false" ht="15" hidden="false" customHeight="false" outlineLevel="0" collapsed="false">
      <c r="B74" s="8" t="str">
        <f aca="false">IF(A74="","",IFERROR(INDEX(Evidence_Log!$B:$B,MATCH(A74,Evidence_Log!$A:$A,0)),"check ID"))</f>
        <v/>
      </c>
      <c r="I74" s="16" t="n">
        <f aca="false">IF(OR(A74="",C74="External driver"),0,IF(COUNTIFS(D$5:D74,D74,B$5:B74,B74,C$5:C74,"&lt;&gt;External driver")=1,1,0))</f>
        <v>0</v>
      </c>
    </row>
    <row r="75" customFormat="false" ht="15" hidden="false" customHeight="false" outlineLevel="0" collapsed="false">
      <c r="B75" s="8" t="str">
        <f aca="false">IF(A75="","",IFERROR(INDEX(Evidence_Log!$B:$B,MATCH(A75,Evidence_Log!$A:$A,0)),"check ID"))</f>
        <v/>
      </c>
      <c r="I75" s="16" t="n">
        <f aca="false">IF(OR(A75="",C75="External driver"),0,IF(COUNTIFS(D$5:D75,D75,B$5:B75,B75,C$5:C75,"&lt;&gt;External driver")=1,1,0))</f>
        <v>0</v>
      </c>
    </row>
    <row r="76" customFormat="false" ht="15" hidden="false" customHeight="false" outlineLevel="0" collapsed="false">
      <c r="B76" s="8" t="str">
        <f aca="false">IF(A76="","",IFERROR(INDEX(Evidence_Log!$B:$B,MATCH(A76,Evidence_Log!$A:$A,0)),"check ID"))</f>
        <v/>
      </c>
      <c r="I76" s="16" t="n">
        <f aca="false">IF(OR(A76="",C76="External driver"),0,IF(COUNTIFS(D$5:D76,D76,B$5:B76,B76,C$5:C76,"&lt;&gt;External driver")=1,1,0))</f>
        <v>0</v>
      </c>
    </row>
    <row r="77" customFormat="false" ht="15" hidden="false" customHeight="false" outlineLevel="0" collapsed="false">
      <c r="B77" s="8" t="str">
        <f aca="false">IF(A77="","",IFERROR(INDEX(Evidence_Log!$B:$B,MATCH(A77,Evidence_Log!$A:$A,0)),"check ID"))</f>
        <v/>
      </c>
      <c r="I77" s="16" t="n">
        <f aca="false">IF(OR(A77="",C77="External driver"),0,IF(COUNTIFS(D$5:D77,D77,B$5:B77,B77,C$5:C77,"&lt;&gt;External driver")=1,1,0))</f>
        <v>0</v>
      </c>
    </row>
    <row r="78" customFormat="false" ht="15" hidden="false" customHeight="false" outlineLevel="0" collapsed="false">
      <c r="B78" s="8" t="str">
        <f aca="false">IF(A78="","",IFERROR(INDEX(Evidence_Log!$B:$B,MATCH(A78,Evidence_Log!$A:$A,0)),"check ID"))</f>
        <v/>
      </c>
      <c r="I78" s="16" t="n">
        <f aca="false">IF(OR(A78="",C78="External driver"),0,IF(COUNTIFS(D$5:D78,D78,B$5:B78,B78,C$5:C78,"&lt;&gt;External driver")=1,1,0))</f>
        <v>0</v>
      </c>
    </row>
    <row r="79" customFormat="false" ht="15" hidden="false" customHeight="false" outlineLevel="0" collapsed="false">
      <c r="B79" s="8" t="str">
        <f aca="false">IF(A79="","",IFERROR(INDEX(Evidence_Log!$B:$B,MATCH(A79,Evidence_Log!$A:$A,0)),"check ID"))</f>
        <v/>
      </c>
      <c r="I79" s="16" t="n">
        <f aca="false">IF(OR(A79="",C79="External driver"),0,IF(COUNTIFS(D$5:D79,D79,B$5:B79,B79,C$5:C79,"&lt;&gt;External driver")=1,1,0))</f>
        <v>0</v>
      </c>
    </row>
    <row r="80" customFormat="false" ht="15" hidden="false" customHeight="false" outlineLevel="0" collapsed="false">
      <c r="B80" s="8" t="str">
        <f aca="false">IF(A80="","",IFERROR(INDEX(Evidence_Log!$B:$B,MATCH(A80,Evidence_Log!$A:$A,0)),"check ID"))</f>
        <v/>
      </c>
      <c r="I80" s="16" t="n">
        <f aca="false">IF(OR(A80="",C80="External driver"),0,IF(COUNTIFS(D$5:D80,D80,B$5:B80,B80,C$5:C80,"&lt;&gt;External driver")=1,1,0))</f>
        <v>0</v>
      </c>
    </row>
    <row r="81" customFormat="false" ht="15" hidden="false" customHeight="false" outlineLevel="0" collapsed="false">
      <c r="B81" s="8" t="str">
        <f aca="false">IF(A81="","",IFERROR(INDEX(Evidence_Log!$B:$B,MATCH(A81,Evidence_Log!$A:$A,0)),"check ID"))</f>
        <v/>
      </c>
      <c r="I81" s="16" t="n">
        <f aca="false">IF(OR(A81="",C81="External driver"),0,IF(COUNTIFS(D$5:D81,D81,B$5:B81,B81,C$5:C81,"&lt;&gt;External driver")=1,1,0))</f>
        <v>0</v>
      </c>
    </row>
    <row r="82" customFormat="false" ht="15" hidden="false" customHeight="false" outlineLevel="0" collapsed="false">
      <c r="B82" s="8" t="str">
        <f aca="false">IF(A82="","",IFERROR(INDEX(Evidence_Log!$B:$B,MATCH(A82,Evidence_Log!$A:$A,0)),"check ID"))</f>
        <v/>
      </c>
      <c r="I82" s="16" t="n">
        <f aca="false">IF(OR(A82="",C82="External driver"),0,IF(COUNTIFS(D$5:D82,D82,B$5:B82,B82,C$5:C82,"&lt;&gt;External driver")=1,1,0))</f>
        <v>0</v>
      </c>
    </row>
    <row r="83" customFormat="false" ht="15" hidden="false" customHeight="false" outlineLevel="0" collapsed="false">
      <c r="B83" s="8" t="str">
        <f aca="false">IF(A83="","",IFERROR(INDEX(Evidence_Log!$B:$B,MATCH(A83,Evidence_Log!$A:$A,0)),"check ID"))</f>
        <v/>
      </c>
      <c r="I83" s="16" t="n">
        <f aca="false">IF(OR(A83="",C83="External driver"),0,IF(COUNTIFS(D$5:D83,D83,B$5:B83,B83,C$5:C83,"&lt;&gt;External driver")=1,1,0))</f>
        <v>0</v>
      </c>
    </row>
    <row r="84" customFormat="false" ht="15" hidden="false" customHeight="false" outlineLevel="0" collapsed="false">
      <c r="B84" s="8" t="str">
        <f aca="false">IF(A84="","",IFERROR(INDEX(Evidence_Log!$B:$B,MATCH(A84,Evidence_Log!$A:$A,0)),"check ID"))</f>
        <v/>
      </c>
      <c r="I84" s="16" t="n">
        <f aca="false">IF(OR(A84="",C84="External driver"),0,IF(COUNTIFS(D$5:D84,D84,B$5:B84,B84,C$5:C84,"&lt;&gt;External driver")=1,1,0))</f>
        <v>0</v>
      </c>
    </row>
    <row r="85" customFormat="false" ht="15" hidden="false" customHeight="false" outlineLevel="0" collapsed="false">
      <c r="B85" s="8" t="str">
        <f aca="false">IF(A85="","",IFERROR(INDEX(Evidence_Log!$B:$B,MATCH(A85,Evidence_Log!$A:$A,0)),"check ID"))</f>
        <v/>
      </c>
      <c r="I85" s="16" t="n">
        <f aca="false">IF(OR(A85="",C85="External driver"),0,IF(COUNTIFS(D$5:D85,D85,B$5:B85,B85,C$5:C85,"&lt;&gt;External driver")=1,1,0))</f>
        <v>0</v>
      </c>
    </row>
    <row r="86" customFormat="false" ht="15" hidden="false" customHeight="false" outlineLevel="0" collapsed="false">
      <c r="B86" s="8" t="str">
        <f aca="false">IF(A86="","",IFERROR(INDEX(Evidence_Log!$B:$B,MATCH(A86,Evidence_Log!$A:$A,0)),"check ID"))</f>
        <v/>
      </c>
      <c r="I86" s="16" t="n">
        <f aca="false">IF(OR(A86="",C86="External driver"),0,IF(COUNTIFS(D$5:D86,D86,B$5:B86,B86,C$5:C86,"&lt;&gt;External driver")=1,1,0))</f>
        <v>0</v>
      </c>
    </row>
    <row r="87" customFormat="false" ht="15" hidden="false" customHeight="false" outlineLevel="0" collapsed="false">
      <c r="B87" s="8" t="str">
        <f aca="false">IF(A87="","",IFERROR(INDEX(Evidence_Log!$B:$B,MATCH(A87,Evidence_Log!$A:$A,0)),"check ID"))</f>
        <v/>
      </c>
      <c r="I87" s="16" t="n">
        <f aca="false">IF(OR(A87="",C87="External driver"),0,IF(COUNTIFS(D$5:D87,D87,B$5:B87,B87,C$5:C87,"&lt;&gt;External driver")=1,1,0))</f>
        <v>0</v>
      </c>
    </row>
    <row r="88" customFormat="false" ht="15" hidden="false" customHeight="false" outlineLevel="0" collapsed="false">
      <c r="B88" s="8" t="str">
        <f aca="false">IF(A88="","",IFERROR(INDEX(Evidence_Log!$B:$B,MATCH(A88,Evidence_Log!$A:$A,0)),"check ID"))</f>
        <v/>
      </c>
      <c r="I88" s="16" t="n">
        <f aca="false">IF(OR(A88="",C88="External driver"),0,IF(COUNTIFS(D$5:D88,D88,B$5:B88,B88,C$5:C88,"&lt;&gt;External driver")=1,1,0))</f>
        <v>0</v>
      </c>
    </row>
    <row r="89" customFormat="false" ht="15" hidden="false" customHeight="false" outlineLevel="0" collapsed="false">
      <c r="B89" s="8" t="str">
        <f aca="false">IF(A89="","",IFERROR(INDEX(Evidence_Log!$B:$B,MATCH(A89,Evidence_Log!$A:$A,0)),"check ID"))</f>
        <v/>
      </c>
      <c r="I89" s="16" t="n">
        <f aca="false">IF(OR(A89="",C89="External driver"),0,IF(COUNTIFS(D$5:D89,D89,B$5:B89,B89,C$5:C89,"&lt;&gt;External driver")=1,1,0))</f>
        <v>0</v>
      </c>
    </row>
    <row r="90" customFormat="false" ht="15" hidden="false" customHeight="false" outlineLevel="0" collapsed="false">
      <c r="B90" s="8" t="str">
        <f aca="false">IF(A90="","",IFERROR(INDEX(Evidence_Log!$B:$B,MATCH(A90,Evidence_Log!$A:$A,0)),"check ID"))</f>
        <v/>
      </c>
      <c r="I90" s="16" t="n">
        <f aca="false">IF(OR(A90="",C90="External driver"),0,IF(COUNTIFS(D$5:D90,D90,B$5:B90,B90,C$5:C90,"&lt;&gt;External driver")=1,1,0))</f>
        <v>0</v>
      </c>
    </row>
    <row r="91" customFormat="false" ht="15" hidden="false" customHeight="false" outlineLevel="0" collapsed="false">
      <c r="B91" s="8" t="str">
        <f aca="false">IF(A91="","",IFERROR(INDEX(Evidence_Log!$B:$B,MATCH(A91,Evidence_Log!$A:$A,0)),"check ID"))</f>
        <v/>
      </c>
      <c r="I91" s="16" t="n">
        <f aca="false">IF(OR(A91="",C91="External driver"),0,IF(COUNTIFS(D$5:D91,D91,B$5:B91,B91,C$5:C91,"&lt;&gt;External driver")=1,1,0))</f>
        <v>0</v>
      </c>
    </row>
    <row r="92" customFormat="false" ht="15" hidden="false" customHeight="false" outlineLevel="0" collapsed="false">
      <c r="B92" s="8" t="str">
        <f aca="false">IF(A92="","",IFERROR(INDEX(Evidence_Log!$B:$B,MATCH(A92,Evidence_Log!$A:$A,0)),"check ID"))</f>
        <v/>
      </c>
      <c r="I92" s="16" t="n">
        <f aca="false">IF(OR(A92="",C92="External driver"),0,IF(COUNTIFS(D$5:D92,D92,B$5:B92,B92,C$5:C92,"&lt;&gt;External driver")=1,1,0))</f>
        <v>0</v>
      </c>
    </row>
    <row r="93" customFormat="false" ht="15" hidden="false" customHeight="false" outlineLevel="0" collapsed="false">
      <c r="B93" s="8" t="str">
        <f aca="false">IF(A93="","",IFERROR(INDEX(Evidence_Log!$B:$B,MATCH(A93,Evidence_Log!$A:$A,0)),"check ID"))</f>
        <v/>
      </c>
      <c r="I93" s="16" t="n">
        <f aca="false">IF(OR(A93="",C93="External driver"),0,IF(COUNTIFS(D$5:D93,D93,B$5:B93,B93,C$5:C93,"&lt;&gt;External driver")=1,1,0))</f>
        <v>0</v>
      </c>
    </row>
    <row r="94" customFormat="false" ht="15" hidden="false" customHeight="false" outlineLevel="0" collapsed="false">
      <c r="B94" s="8" t="str">
        <f aca="false">IF(A94="","",IFERROR(INDEX(Evidence_Log!$B:$B,MATCH(A94,Evidence_Log!$A:$A,0)),"check ID"))</f>
        <v/>
      </c>
      <c r="I94" s="16" t="n">
        <f aca="false">IF(OR(A94="",C94="External driver"),0,IF(COUNTIFS(D$5:D94,D94,B$5:B94,B94,C$5:C94,"&lt;&gt;External driver")=1,1,0))</f>
        <v>0</v>
      </c>
    </row>
    <row r="95" customFormat="false" ht="15" hidden="false" customHeight="false" outlineLevel="0" collapsed="false">
      <c r="B95" s="8" t="str">
        <f aca="false">IF(A95="","",IFERROR(INDEX(Evidence_Log!$B:$B,MATCH(A95,Evidence_Log!$A:$A,0)),"check ID"))</f>
        <v/>
      </c>
      <c r="I95" s="16" t="n">
        <f aca="false">IF(OR(A95="",C95="External driver"),0,IF(COUNTIFS(D$5:D95,D95,B$5:B95,B95,C$5:C95,"&lt;&gt;External driver")=1,1,0))</f>
        <v>0</v>
      </c>
    </row>
    <row r="96" customFormat="false" ht="15" hidden="false" customHeight="false" outlineLevel="0" collapsed="false">
      <c r="B96" s="8" t="str">
        <f aca="false">IF(A96="","",IFERROR(INDEX(Evidence_Log!$B:$B,MATCH(A96,Evidence_Log!$A:$A,0)),"check ID"))</f>
        <v/>
      </c>
      <c r="I96" s="16" t="n">
        <f aca="false">IF(OR(A96="",C96="External driver"),0,IF(COUNTIFS(D$5:D96,D96,B$5:B96,B96,C$5:C96,"&lt;&gt;External driver")=1,1,0))</f>
        <v>0</v>
      </c>
    </row>
    <row r="97" customFormat="false" ht="15" hidden="false" customHeight="false" outlineLevel="0" collapsed="false">
      <c r="B97" s="8" t="str">
        <f aca="false">IF(A97="","",IFERROR(INDEX(Evidence_Log!$B:$B,MATCH(A97,Evidence_Log!$A:$A,0)),"check ID"))</f>
        <v/>
      </c>
      <c r="I97" s="16" t="n">
        <f aca="false">IF(OR(A97="",C97="External driver"),0,IF(COUNTIFS(D$5:D97,D97,B$5:B97,B97,C$5:C97,"&lt;&gt;External driver")=1,1,0))</f>
        <v>0</v>
      </c>
    </row>
    <row r="98" customFormat="false" ht="15" hidden="false" customHeight="false" outlineLevel="0" collapsed="false">
      <c r="B98" s="8" t="str">
        <f aca="false">IF(A98="","",IFERROR(INDEX(Evidence_Log!$B:$B,MATCH(A98,Evidence_Log!$A:$A,0)),"check ID"))</f>
        <v/>
      </c>
      <c r="I98" s="16" t="n">
        <f aca="false">IF(OR(A98="",C98="External driver"),0,IF(COUNTIFS(D$5:D98,D98,B$5:B98,B98,C$5:C98,"&lt;&gt;External driver")=1,1,0))</f>
        <v>0</v>
      </c>
    </row>
    <row r="99" customFormat="false" ht="15" hidden="false" customHeight="false" outlineLevel="0" collapsed="false">
      <c r="B99" s="8" t="str">
        <f aca="false">IF(A99="","",IFERROR(INDEX(Evidence_Log!$B:$B,MATCH(A99,Evidence_Log!$A:$A,0)),"check ID"))</f>
        <v/>
      </c>
      <c r="I99" s="16" t="n">
        <f aca="false">IF(OR(A99="",C99="External driver"),0,IF(COUNTIFS(D$5:D99,D99,B$5:B99,B99,C$5:C99,"&lt;&gt;External driver")=1,1,0))</f>
        <v>0</v>
      </c>
    </row>
    <row r="100" customFormat="false" ht="15" hidden="false" customHeight="false" outlineLevel="0" collapsed="false">
      <c r="B100" s="8" t="str">
        <f aca="false">IF(A100="","",IFERROR(INDEX(Evidence_Log!$B:$B,MATCH(A100,Evidence_Log!$A:$A,0)),"check ID"))</f>
        <v/>
      </c>
      <c r="I100" s="16" t="n">
        <f aca="false">IF(OR(A100="",C100="External driver"),0,IF(COUNTIFS(D$5:D100,D100,B$5:B100,B100,C$5:C100,"&lt;&gt;External driver")=1,1,0))</f>
        <v>0</v>
      </c>
    </row>
    <row r="101" customFormat="false" ht="15" hidden="false" customHeight="false" outlineLevel="0" collapsed="false">
      <c r="B101" s="8" t="str">
        <f aca="false">IF(A101="","",IFERROR(INDEX(Evidence_Log!$B:$B,MATCH(A101,Evidence_Log!$A:$A,0)),"check ID"))</f>
        <v/>
      </c>
      <c r="I101" s="16" t="n">
        <f aca="false">IF(OR(A101="",C101="External driver"),0,IF(COUNTIFS(D$5:D101,D101,B$5:B101,B101,C$5:C101,"&lt;&gt;External driver")=1,1,0))</f>
        <v>0</v>
      </c>
    </row>
    <row r="102" customFormat="false" ht="15" hidden="false" customHeight="false" outlineLevel="0" collapsed="false">
      <c r="B102" s="8" t="str">
        <f aca="false">IF(A102="","",IFERROR(INDEX(Evidence_Log!$B:$B,MATCH(A102,Evidence_Log!$A:$A,0)),"check ID"))</f>
        <v/>
      </c>
      <c r="I102" s="16" t="n">
        <f aca="false">IF(OR(A102="",C102="External driver"),0,IF(COUNTIFS(D$5:D102,D102,B$5:B102,B102,C$5:C102,"&lt;&gt;External driver")=1,1,0))</f>
        <v>0</v>
      </c>
    </row>
    <row r="103" customFormat="false" ht="15" hidden="false" customHeight="false" outlineLevel="0" collapsed="false">
      <c r="B103" s="8" t="str">
        <f aca="false">IF(A103="","",IFERROR(INDEX(Evidence_Log!$B:$B,MATCH(A103,Evidence_Log!$A:$A,0)),"check ID"))</f>
        <v/>
      </c>
      <c r="I103" s="16" t="n">
        <f aca="false">IF(OR(A103="",C103="External driver"),0,IF(COUNTIFS(D$5:D103,D103,B$5:B103,B103,C$5:C103,"&lt;&gt;External driver")=1,1,0))</f>
        <v>0</v>
      </c>
    </row>
    <row r="104" customFormat="false" ht="15" hidden="false" customHeight="false" outlineLevel="0" collapsed="false">
      <c r="B104" s="8" t="str">
        <f aca="false">IF(A104="","",IFERROR(INDEX(Evidence_Log!$B:$B,MATCH(A104,Evidence_Log!$A:$A,0)),"check ID"))</f>
        <v/>
      </c>
      <c r="I104" s="16" t="n">
        <f aca="false">IF(OR(A104="",C104="External driver"),0,IF(COUNTIFS(D$5:D104,D104,B$5:B104,B104,C$5:C104,"&lt;&gt;External driver")=1,1,0))</f>
        <v>0</v>
      </c>
    </row>
    <row r="105" customFormat="false" ht="15" hidden="false" customHeight="false" outlineLevel="0" collapsed="false">
      <c r="B105" s="8" t="str">
        <f aca="false">IF(A105="","",IFERROR(INDEX(Evidence_Log!$B:$B,MATCH(A105,Evidence_Log!$A:$A,0)),"check ID"))</f>
        <v/>
      </c>
      <c r="I105" s="16" t="n">
        <f aca="false">IF(OR(A105="",C105="External driver"),0,IF(COUNTIFS(D$5:D105,D105,B$5:B105,B105,C$5:C105,"&lt;&gt;External driver")=1,1,0))</f>
        <v>0</v>
      </c>
    </row>
    <row r="106" customFormat="false" ht="15" hidden="false" customHeight="false" outlineLevel="0" collapsed="false">
      <c r="B106" s="8" t="str">
        <f aca="false">IF(A106="","",IFERROR(INDEX(Evidence_Log!$B:$B,MATCH(A106,Evidence_Log!$A:$A,0)),"check ID"))</f>
        <v/>
      </c>
      <c r="I106" s="16" t="n">
        <f aca="false">IF(OR(A106="",C106="External driver"),0,IF(COUNTIFS(D$5:D106,D106,B$5:B106,B106,C$5:C106,"&lt;&gt;External driver")=1,1,0))</f>
        <v>0</v>
      </c>
    </row>
    <row r="107" customFormat="false" ht="15" hidden="false" customHeight="false" outlineLevel="0" collapsed="false">
      <c r="B107" s="8" t="str">
        <f aca="false">IF(A107="","",IFERROR(INDEX(Evidence_Log!$B:$B,MATCH(A107,Evidence_Log!$A:$A,0)),"check ID"))</f>
        <v/>
      </c>
      <c r="I107" s="16" t="n">
        <f aca="false">IF(OR(A107="",C107="External driver"),0,IF(COUNTIFS(D$5:D107,D107,B$5:B107,B107,C$5:C107,"&lt;&gt;External driver")=1,1,0))</f>
        <v>0</v>
      </c>
    </row>
    <row r="108" customFormat="false" ht="15" hidden="false" customHeight="false" outlineLevel="0" collapsed="false">
      <c r="B108" s="8" t="str">
        <f aca="false">IF(A108="","",IFERROR(INDEX(Evidence_Log!$B:$B,MATCH(A108,Evidence_Log!$A:$A,0)),"check ID"))</f>
        <v/>
      </c>
      <c r="I108" s="16" t="n">
        <f aca="false">IF(OR(A108="",C108="External driver"),0,IF(COUNTIFS(D$5:D108,D108,B$5:B108,B108,C$5:C108,"&lt;&gt;External driver")=1,1,0))</f>
        <v>0</v>
      </c>
    </row>
    <row r="109" customFormat="false" ht="15" hidden="false" customHeight="false" outlineLevel="0" collapsed="false">
      <c r="B109" s="8" t="str">
        <f aca="false">IF(A109="","",IFERROR(INDEX(Evidence_Log!$B:$B,MATCH(A109,Evidence_Log!$A:$A,0)),"check ID"))</f>
        <v/>
      </c>
      <c r="I109" s="16" t="n">
        <f aca="false">IF(OR(A109="",C109="External driver"),0,IF(COUNTIFS(D$5:D109,D109,B$5:B109,B109,C$5:C109,"&lt;&gt;External driver")=1,1,0))</f>
        <v>0</v>
      </c>
    </row>
    <row r="110" customFormat="false" ht="15" hidden="false" customHeight="false" outlineLevel="0" collapsed="false">
      <c r="B110" s="8" t="str">
        <f aca="false">IF(A110="","",IFERROR(INDEX(Evidence_Log!$B:$B,MATCH(A110,Evidence_Log!$A:$A,0)),"check ID"))</f>
        <v/>
      </c>
      <c r="I110" s="16" t="n">
        <f aca="false">IF(OR(A110="",C110="External driver"),0,IF(COUNTIFS(D$5:D110,D110,B$5:B110,B110,C$5:C110,"&lt;&gt;External driver")=1,1,0))</f>
        <v>0</v>
      </c>
    </row>
    <row r="111" customFormat="false" ht="15" hidden="false" customHeight="false" outlineLevel="0" collapsed="false">
      <c r="B111" s="8" t="str">
        <f aca="false">IF(A111="","",IFERROR(INDEX(Evidence_Log!$B:$B,MATCH(A111,Evidence_Log!$A:$A,0)),"check ID"))</f>
        <v/>
      </c>
      <c r="I111" s="16" t="n">
        <f aca="false">IF(OR(A111="",C111="External driver"),0,IF(COUNTIFS(D$5:D111,D111,B$5:B111,B111,C$5:C111,"&lt;&gt;External driver")=1,1,0))</f>
        <v>0</v>
      </c>
    </row>
    <row r="112" customFormat="false" ht="15" hidden="false" customHeight="false" outlineLevel="0" collapsed="false">
      <c r="B112" s="8" t="str">
        <f aca="false">IF(A112="","",IFERROR(INDEX(Evidence_Log!$B:$B,MATCH(A112,Evidence_Log!$A:$A,0)),"check ID"))</f>
        <v/>
      </c>
      <c r="I112" s="16" t="n">
        <f aca="false">IF(OR(A112="",C112="External driver"),0,IF(COUNTIFS(D$5:D112,D112,B$5:B112,B112,C$5:C112,"&lt;&gt;External driver")=1,1,0))</f>
        <v>0</v>
      </c>
    </row>
    <row r="113" customFormat="false" ht="15" hidden="false" customHeight="false" outlineLevel="0" collapsed="false">
      <c r="B113" s="8" t="str">
        <f aca="false">IF(A113="","",IFERROR(INDEX(Evidence_Log!$B:$B,MATCH(A113,Evidence_Log!$A:$A,0)),"check ID"))</f>
        <v/>
      </c>
      <c r="I113" s="16" t="n">
        <f aca="false">IF(OR(A113="",C113="External driver"),0,IF(COUNTIFS(D$5:D113,D113,B$5:B113,B113,C$5:C113,"&lt;&gt;External driver")=1,1,0))</f>
        <v>0</v>
      </c>
    </row>
    <row r="114" customFormat="false" ht="15" hidden="false" customHeight="false" outlineLevel="0" collapsed="false">
      <c r="B114" s="8" t="str">
        <f aca="false">IF(A114="","",IFERROR(INDEX(Evidence_Log!$B:$B,MATCH(A114,Evidence_Log!$A:$A,0)),"check ID"))</f>
        <v/>
      </c>
      <c r="I114" s="16" t="n">
        <f aca="false">IF(OR(A114="",C114="External driver"),0,IF(COUNTIFS(D$5:D114,D114,B$5:B114,B114,C$5:C114,"&lt;&gt;External driver")=1,1,0))</f>
        <v>0</v>
      </c>
    </row>
    <row r="115" customFormat="false" ht="15" hidden="false" customHeight="false" outlineLevel="0" collapsed="false">
      <c r="B115" s="8" t="str">
        <f aca="false">IF(A115="","",IFERROR(INDEX(Evidence_Log!$B:$B,MATCH(A115,Evidence_Log!$A:$A,0)),"check ID"))</f>
        <v/>
      </c>
      <c r="I115" s="16" t="n">
        <f aca="false">IF(OR(A115="",C115="External driver"),0,IF(COUNTIFS(D$5:D115,D115,B$5:B115,B115,C$5:C115,"&lt;&gt;External driver")=1,1,0))</f>
        <v>0</v>
      </c>
    </row>
    <row r="116" customFormat="false" ht="15" hidden="false" customHeight="false" outlineLevel="0" collapsed="false">
      <c r="B116" s="8" t="str">
        <f aca="false">IF(A116="","",IFERROR(INDEX(Evidence_Log!$B:$B,MATCH(A116,Evidence_Log!$A:$A,0)),"check ID"))</f>
        <v/>
      </c>
      <c r="I116" s="16" t="n">
        <f aca="false">IF(OR(A116="",C116="External driver"),0,IF(COUNTIFS(D$5:D116,D116,B$5:B116,B116,C$5:C116,"&lt;&gt;External driver")=1,1,0))</f>
        <v>0</v>
      </c>
    </row>
    <row r="117" customFormat="false" ht="15" hidden="false" customHeight="false" outlineLevel="0" collapsed="false">
      <c r="B117" s="8" t="str">
        <f aca="false">IF(A117="","",IFERROR(INDEX(Evidence_Log!$B:$B,MATCH(A117,Evidence_Log!$A:$A,0)),"check ID"))</f>
        <v/>
      </c>
      <c r="I117" s="16" t="n">
        <f aca="false">IF(OR(A117="",C117="External driver"),0,IF(COUNTIFS(D$5:D117,D117,B$5:B117,B117,C$5:C117,"&lt;&gt;External driver")=1,1,0))</f>
        <v>0</v>
      </c>
    </row>
    <row r="118" customFormat="false" ht="15" hidden="false" customHeight="false" outlineLevel="0" collapsed="false">
      <c r="B118" s="8" t="str">
        <f aca="false">IF(A118="","",IFERROR(INDEX(Evidence_Log!$B:$B,MATCH(A118,Evidence_Log!$A:$A,0)),"check ID"))</f>
        <v/>
      </c>
      <c r="I118" s="16" t="n">
        <f aca="false">IF(OR(A118="",C118="External driver"),0,IF(COUNTIFS(D$5:D118,D118,B$5:B118,B118,C$5:C118,"&lt;&gt;External driver")=1,1,0))</f>
        <v>0</v>
      </c>
    </row>
    <row r="119" customFormat="false" ht="15" hidden="false" customHeight="false" outlineLevel="0" collapsed="false">
      <c r="B119" s="8" t="str">
        <f aca="false">IF(A119="","",IFERROR(INDEX(Evidence_Log!$B:$B,MATCH(A119,Evidence_Log!$A:$A,0)),"check ID"))</f>
        <v/>
      </c>
      <c r="I119" s="16" t="n">
        <f aca="false">IF(OR(A119="",C119="External driver"),0,IF(COUNTIFS(D$5:D119,D119,B$5:B119,B119,C$5:C119,"&lt;&gt;External driver")=1,1,0))</f>
        <v>0</v>
      </c>
    </row>
    <row r="120" customFormat="false" ht="15" hidden="false" customHeight="false" outlineLevel="0" collapsed="false">
      <c r="B120" s="8" t="str">
        <f aca="false">IF(A120="","",IFERROR(INDEX(Evidence_Log!$B:$B,MATCH(A120,Evidence_Log!$A:$A,0)),"check ID"))</f>
        <v/>
      </c>
      <c r="I120" s="16" t="n">
        <f aca="false">IF(OR(A120="",C120="External driver"),0,IF(COUNTIFS(D$5:D120,D120,B$5:B120,B120,C$5:C120,"&lt;&gt;External driver")=1,1,0))</f>
        <v>0</v>
      </c>
    </row>
    <row r="121" customFormat="false" ht="15" hidden="false" customHeight="false" outlineLevel="0" collapsed="false">
      <c r="B121" s="8" t="str">
        <f aca="false">IF(A121="","",IFERROR(INDEX(Evidence_Log!$B:$B,MATCH(A121,Evidence_Log!$A:$A,0)),"check ID"))</f>
        <v/>
      </c>
      <c r="I121" s="16" t="n">
        <f aca="false">IF(OR(A121="",C121="External driver"),0,IF(COUNTIFS(D$5:D121,D121,B$5:B121,B121,C$5:C121,"&lt;&gt;External driver")=1,1,0))</f>
        <v>0</v>
      </c>
    </row>
    <row r="122" customFormat="false" ht="15" hidden="false" customHeight="false" outlineLevel="0" collapsed="false">
      <c r="B122" s="8" t="str">
        <f aca="false">IF(A122="","",IFERROR(INDEX(Evidence_Log!$B:$B,MATCH(A122,Evidence_Log!$A:$A,0)),"check ID"))</f>
        <v/>
      </c>
      <c r="I122" s="16" t="n">
        <f aca="false">IF(OR(A122="",C122="External driver"),0,IF(COUNTIFS(D$5:D122,D122,B$5:B122,B122,C$5:C122,"&lt;&gt;External driver")=1,1,0))</f>
        <v>0</v>
      </c>
    </row>
    <row r="123" customFormat="false" ht="15" hidden="false" customHeight="false" outlineLevel="0" collapsed="false">
      <c r="B123" s="8" t="str">
        <f aca="false">IF(A123="","",IFERROR(INDEX(Evidence_Log!$B:$B,MATCH(A123,Evidence_Log!$A:$A,0)),"check ID"))</f>
        <v/>
      </c>
      <c r="I123" s="16" t="n">
        <f aca="false">IF(OR(A123="",C123="External driver"),0,IF(COUNTIFS(D$5:D123,D123,B$5:B123,B123,C$5:C123,"&lt;&gt;External driver")=1,1,0))</f>
        <v>0</v>
      </c>
    </row>
    <row r="124" customFormat="false" ht="15" hidden="false" customHeight="false" outlineLevel="0" collapsed="false">
      <c r="B124" s="8" t="str">
        <f aca="false">IF(A124="","",IFERROR(INDEX(Evidence_Log!$B:$B,MATCH(A124,Evidence_Log!$A:$A,0)),"check ID"))</f>
        <v/>
      </c>
      <c r="I124" s="16" t="n">
        <f aca="false">IF(OR(A124="",C124="External driver"),0,IF(COUNTIFS(D$5:D124,D124,B$5:B124,B124,C$5:C124,"&lt;&gt;External driver")=1,1,0))</f>
        <v>0</v>
      </c>
    </row>
    <row r="125" customFormat="false" ht="15" hidden="false" customHeight="false" outlineLevel="0" collapsed="false">
      <c r="B125" s="8" t="str">
        <f aca="false">IF(A125="","",IFERROR(INDEX(Evidence_Log!$B:$B,MATCH(A125,Evidence_Log!$A:$A,0)),"check ID"))</f>
        <v/>
      </c>
      <c r="I125" s="16" t="n">
        <f aca="false">IF(OR(A125="",C125="External driver"),0,IF(COUNTIFS(D$5:D125,D125,B$5:B125,B125,C$5:C125,"&lt;&gt;External driver")=1,1,0))</f>
        <v>0</v>
      </c>
    </row>
    <row r="126" customFormat="false" ht="15" hidden="false" customHeight="false" outlineLevel="0" collapsed="false">
      <c r="B126" s="8" t="str">
        <f aca="false">IF(A126="","",IFERROR(INDEX(Evidence_Log!$B:$B,MATCH(A126,Evidence_Log!$A:$A,0)),"check ID"))</f>
        <v/>
      </c>
      <c r="I126" s="16" t="n">
        <f aca="false">IF(OR(A126="",C126="External driver"),0,IF(COUNTIFS(D$5:D126,D126,B$5:B126,B126,C$5:C126,"&lt;&gt;External driver")=1,1,0))</f>
        <v>0</v>
      </c>
    </row>
    <row r="127" customFormat="false" ht="15" hidden="false" customHeight="false" outlineLevel="0" collapsed="false">
      <c r="B127" s="8" t="str">
        <f aca="false">IF(A127="","",IFERROR(INDEX(Evidence_Log!$B:$B,MATCH(A127,Evidence_Log!$A:$A,0)),"check ID"))</f>
        <v/>
      </c>
      <c r="I127" s="16" t="n">
        <f aca="false">IF(OR(A127="",C127="External driver"),0,IF(COUNTIFS(D$5:D127,D127,B$5:B127,B127,C$5:C127,"&lt;&gt;External driver")=1,1,0))</f>
        <v>0</v>
      </c>
    </row>
    <row r="128" customFormat="false" ht="15" hidden="false" customHeight="false" outlineLevel="0" collapsed="false">
      <c r="B128" s="8" t="str">
        <f aca="false">IF(A128="","",IFERROR(INDEX(Evidence_Log!$B:$B,MATCH(A128,Evidence_Log!$A:$A,0)),"check ID"))</f>
        <v/>
      </c>
      <c r="I128" s="16" t="n">
        <f aca="false">IF(OR(A128="",C128="External driver"),0,IF(COUNTIFS(D$5:D128,D128,B$5:B128,B128,C$5:C128,"&lt;&gt;External driver")=1,1,0))</f>
        <v>0</v>
      </c>
    </row>
    <row r="129" customFormat="false" ht="15" hidden="false" customHeight="false" outlineLevel="0" collapsed="false">
      <c r="B129" s="8" t="str">
        <f aca="false">IF(A129="","",IFERROR(INDEX(Evidence_Log!$B:$B,MATCH(A129,Evidence_Log!$A:$A,0)),"check ID"))</f>
        <v/>
      </c>
      <c r="I129" s="16" t="n">
        <f aca="false">IF(OR(A129="",C129="External driver"),0,IF(COUNTIFS(D$5:D129,D129,B$5:B129,B129,C$5:C129,"&lt;&gt;External driver")=1,1,0))</f>
        <v>0</v>
      </c>
    </row>
    <row r="130" customFormat="false" ht="15" hidden="false" customHeight="false" outlineLevel="0" collapsed="false">
      <c r="B130" s="8" t="str">
        <f aca="false">IF(A130="","",IFERROR(INDEX(Evidence_Log!$B:$B,MATCH(A130,Evidence_Log!$A:$A,0)),"check ID"))</f>
        <v/>
      </c>
      <c r="I130" s="16" t="n">
        <f aca="false">IF(OR(A130="",C130="External driver"),0,IF(COUNTIFS(D$5:D130,D130,B$5:B130,B130,C$5:C130,"&lt;&gt;External driver")=1,1,0))</f>
        <v>0</v>
      </c>
    </row>
    <row r="131" customFormat="false" ht="15" hidden="false" customHeight="false" outlineLevel="0" collapsed="false">
      <c r="B131" s="8" t="str">
        <f aca="false">IF(A131="","",IFERROR(INDEX(Evidence_Log!$B:$B,MATCH(A131,Evidence_Log!$A:$A,0)),"check ID"))</f>
        <v/>
      </c>
      <c r="I131" s="16" t="n">
        <f aca="false">IF(OR(A131="",C131="External driver"),0,IF(COUNTIFS(D$5:D131,D131,B$5:B131,B131,C$5:C131,"&lt;&gt;External driver")=1,1,0))</f>
        <v>0</v>
      </c>
    </row>
    <row r="132" customFormat="false" ht="15" hidden="false" customHeight="false" outlineLevel="0" collapsed="false">
      <c r="B132" s="8" t="str">
        <f aca="false">IF(A132="","",IFERROR(INDEX(Evidence_Log!$B:$B,MATCH(A132,Evidence_Log!$A:$A,0)),"check ID"))</f>
        <v/>
      </c>
      <c r="I132" s="16" t="n">
        <f aca="false">IF(OR(A132="",C132="External driver"),0,IF(COUNTIFS(D$5:D132,D132,B$5:B132,B132,C$5:C132,"&lt;&gt;External driver")=1,1,0))</f>
        <v>0</v>
      </c>
    </row>
    <row r="133" customFormat="false" ht="15" hidden="false" customHeight="false" outlineLevel="0" collapsed="false">
      <c r="B133" s="8" t="str">
        <f aca="false">IF(A133="","",IFERROR(INDEX(Evidence_Log!$B:$B,MATCH(A133,Evidence_Log!$A:$A,0)),"check ID"))</f>
        <v/>
      </c>
      <c r="I133" s="16" t="n">
        <f aca="false">IF(OR(A133="",C133="External driver"),0,IF(COUNTIFS(D$5:D133,D133,B$5:B133,B133,C$5:C133,"&lt;&gt;External driver")=1,1,0))</f>
        <v>0</v>
      </c>
    </row>
    <row r="134" customFormat="false" ht="15" hidden="false" customHeight="false" outlineLevel="0" collapsed="false">
      <c r="B134" s="8" t="str">
        <f aca="false">IF(A134="","",IFERROR(INDEX(Evidence_Log!$B:$B,MATCH(A134,Evidence_Log!$A:$A,0)),"check ID"))</f>
        <v/>
      </c>
      <c r="I134" s="16" t="n">
        <f aca="false">IF(OR(A134="",C134="External driver"),0,IF(COUNTIFS(D$5:D134,D134,B$5:B134,B134,C$5:C134,"&lt;&gt;External driver")=1,1,0))</f>
        <v>0</v>
      </c>
    </row>
    <row r="135" customFormat="false" ht="15" hidden="false" customHeight="false" outlineLevel="0" collapsed="false">
      <c r="B135" s="8" t="str">
        <f aca="false">IF(A135="","",IFERROR(INDEX(Evidence_Log!$B:$B,MATCH(A135,Evidence_Log!$A:$A,0)),"check ID"))</f>
        <v/>
      </c>
      <c r="I135" s="16" t="n">
        <f aca="false">IF(OR(A135="",C135="External driver"),0,IF(COUNTIFS(D$5:D135,D135,B$5:B135,B135,C$5:C135,"&lt;&gt;External driver")=1,1,0))</f>
        <v>0</v>
      </c>
    </row>
    <row r="136" customFormat="false" ht="15" hidden="false" customHeight="false" outlineLevel="0" collapsed="false">
      <c r="B136" s="8" t="str">
        <f aca="false">IF(A136="","",IFERROR(INDEX(Evidence_Log!$B:$B,MATCH(A136,Evidence_Log!$A:$A,0)),"check ID"))</f>
        <v/>
      </c>
      <c r="I136" s="16" t="n">
        <f aca="false">IF(OR(A136="",C136="External driver"),0,IF(COUNTIFS(D$5:D136,D136,B$5:B136,B136,C$5:C136,"&lt;&gt;External driver")=1,1,0))</f>
        <v>0</v>
      </c>
    </row>
    <row r="137" customFormat="false" ht="15" hidden="false" customHeight="false" outlineLevel="0" collapsed="false">
      <c r="B137" s="8" t="str">
        <f aca="false">IF(A137="","",IFERROR(INDEX(Evidence_Log!$B:$B,MATCH(A137,Evidence_Log!$A:$A,0)),"check ID"))</f>
        <v/>
      </c>
      <c r="I137" s="16" t="n">
        <f aca="false">IF(OR(A137="",C137="External driver"),0,IF(COUNTIFS(D$5:D137,D137,B$5:B137,B137,C$5:C137,"&lt;&gt;External driver")=1,1,0))</f>
        <v>0</v>
      </c>
    </row>
    <row r="138" customFormat="false" ht="15" hidden="false" customHeight="false" outlineLevel="0" collapsed="false">
      <c r="B138" s="8" t="str">
        <f aca="false">IF(A138="","",IFERROR(INDEX(Evidence_Log!$B:$B,MATCH(A138,Evidence_Log!$A:$A,0)),"check ID"))</f>
        <v/>
      </c>
      <c r="I138" s="16" t="n">
        <f aca="false">IF(OR(A138="",C138="External driver"),0,IF(COUNTIFS(D$5:D138,D138,B$5:B138,B138,C$5:C138,"&lt;&gt;External driver")=1,1,0))</f>
        <v>0</v>
      </c>
    </row>
    <row r="139" customFormat="false" ht="15" hidden="false" customHeight="false" outlineLevel="0" collapsed="false">
      <c r="B139" s="8" t="str">
        <f aca="false">IF(A139="","",IFERROR(INDEX(Evidence_Log!$B:$B,MATCH(A139,Evidence_Log!$A:$A,0)),"check ID"))</f>
        <v/>
      </c>
      <c r="I139" s="16" t="n">
        <f aca="false">IF(OR(A139="",C139="External driver"),0,IF(COUNTIFS(D$5:D139,D139,B$5:B139,B139,C$5:C139,"&lt;&gt;External driver")=1,1,0))</f>
        <v>0</v>
      </c>
    </row>
    <row r="140" customFormat="false" ht="15" hidden="false" customHeight="false" outlineLevel="0" collapsed="false">
      <c r="B140" s="8" t="str">
        <f aca="false">IF(A140="","",IFERROR(INDEX(Evidence_Log!$B:$B,MATCH(A140,Evidence_Log!$A:$A,0)),"check ID"))</f>
        <v/>
      </c>
      <c r="I140" s="16" t="n">
        <f aca="false">IF(OR(A140="",C140="External driver"),0,IF(COUNTIFS(D$5:D140,D140,B$5:B140,B140,C$5:C140,"&lt;&gt;External driver")=1,1,0))</f>
        <v>0</v>
      </c>
    </row>
    <row r="141" customFormat="false" ht="15" hidden="false" customHeight="false" outlineLevel="0" collapsed="false">
      <c r="B141" s="8" t="str">
        <f aca="false">IF(A141="","",IFERROR(INDEX(Evidence_Log!$B:$B,MATCH(A141,Evidence_Log!$A:$A,0)),"check ID"))</f>
        <v/>
      </c>
      <c r="I141" s="16" t="n">
        <f aca="false">IF(OR(A141="",C141="External driver"),0,IF(COUNTIFS(D$5:D141,D141,B$5:B141,B141,C$5:C141,"&lt;&gt;External driver")=1,1,0))</f>
        <v>0</v>
      </c>
    </row>
    <row r="142" customFormat="false" ht="15" hidden="false" customHeight="false" outlineLevel="0" collapsed="false">
      <c r="B142" s="8" t="str">
        <f aca="false">IF(A142="","",IFERROR(INDEX(Evidence_Log!$B:$B,MATCH(A142,Evidence_Log!$A:$A,0)),"check ID"))</f>
        <v/>
      </c>
      <c r="I142" s="16" t="n">
        <f aca="false">IF(OR(A142="",C142="External driver"),0,IF(COUNTIFS(D$5:D142,D142,B$5:B142,B142,C$5:C142,"&lt;&gt;External driver")=1,1,0))</f>
        <v>0</v>
      </c>
    </row>
    <row r="143" customFormat="false" ht="15" hidden="false" customHeight="false" outlineLevel="0" collapsed="false">
      <c r="B143" s="8" t="str">
        <f aca="false">IF(A143="","",IFERROR(INDEX(Evidence_Log!$B:$B,MATCH(A143,Evidence_Log!$A:$A,0)),"check ID"))</f>
        <v/>
      </c>
      <c r="I143" s="16" t="n">
        <f aca="false">IF(OR(A143="",C143="External driver"),0,IF(COUNTIFS(D$5:D143,D143,B$5:B143,B143,C$5:C143,"&lt;&gt;External driver")=1,1,0))</f>
        <v>0</v>
      </c>
    </row>
    <row r="144" customFormat="false" ht="15" hidden="false" customHeight="false" outlineLevel="0" collapsed="false">
      <c r="B144" s="8" t="str">
        <f aca="false">IF(A144="","",IFERROR(INDEX(Evidence_Log!$B:$B,MATCH(A144,Evidence_Log!$A:$A,0)),"check ID"))</f>
        <v/>
      </c>
      <c r="I144" s="16" t="n">
        <f aca="false">IF(OR(A144="",C144="External driver"),0,IF(COUNTIFS(D$5:D144,D144,B$5:B144,B144,C$5:C144,"&lt;&gt;External driver")=1,1,0))</f>
        <v>0</v>
      </c>
    </row>
    <row r="145" customFormat="false" ht="15" hidden="false" customHeight="false" outlineLevel="0" collapsed="false">
      <c r="B145" s="8" t="str">
        <f aca="false">IF(A145="","",IFERROR(INDEX(Evidence_Log!$B:$B,MATCH(A145,Evidence_Log!$A:$A,0)),"check ID"))</f>
        <v/>
      </c>
      <c r="I145" s="16" t="n">
        <f aca="false">IF(OR(A145="",C145="External driver"),0,IF(COUNTIFS(D$5:D145,D145,B$5:B145,B145,C$5:C145,"&lt;&gt;External driver")=1,1,0))</f>
        <v>0</v>
      </c>
    </row>
    <row r="146" customFormat="false" ht="15" hidden="false" customHeight="false" outlineLevel="0" collapsed="false">
      <c r="B146" s="8" t="str">
        <f aca="false">IF(A146="","",IFERROR(INDEX(Evidence_Log!$B:$B,MATCH(A146,Evidence_Log!$A:$A,0)),"check ID"))</f>
        <v/>
      </c>
      <c r="I146" s="16" t="n">
        <f aca="false">IF(OR(A146="",C146="External driver"),0,IF(COUNTIFS(D$5:D146,D146,B$5:B146,B146,C$5:C146,"&lt;&gt;External driver")=1,1,0))</f>
        <v>0</v>
      </c>
    </row>
    <row r="147" customFormat="false" ht="15" hidden="false" customHeight="false" outlineLevel="0" collapsed="false">
      <c r="B147" s="8" t="str">
        <f aca="false">IF(A147="","",IFERROR(INDEX(Evidence_Log!$B:$B,MATCH(A147,Evidence_Log!$A:$A,0)),"check ID"))</f>
        <v/>
      </c>
      <c r="I147" s="16" t="n">
        <f aca="false">IF(OR(A147="",C147="External driver"),0,IF(COUNTIFS(D$5:D147,D147,B$5:B147,B147,C$5:C147,"&lt;&gt;External driver")=1,1,0))</f>
        <v>0</v>
      </c>
    </row>
    <row r="148" customFormat="false" ht="15" hidden="false" customHeight="false" outlineLevel="0" collapsed="false">
      <c r="B148" s="8" t="str">
        <f aca="false">IF(A148="","",IFERROR(INDEX(Evidence_Log!$B:$B,MATCH(A148,Evidence_Log!$A:$A,0)),"check ID"))</f>
        <v/>
      </c>
      <c r="I148" s="16" t="n">
        <f aca="false">IF(OR(A148="",C148="External driver"),0,IF(COUNTIFS(D$5:D148,D148,B$5:B148,B148,C$5:C148,"&lt;&gt;External driver")=1,1,0))</f>
        <v>0</v>
      </c>
    </row>
    <row r="149" customFormat="false" ht="15" hidden="false" customHeight="false" outlineLevel="0" collapsed="false">
      <c r="B149" s="8" t="str">
        <f aca="false">IF(A149="","",IFERROR(INDEX(Evidence_Log!$B:$B,MATCH(A149,Evidence_Log!$A:$A,0)),"check ID"))</f>
        <v/>
      </c>
      <c r="I149" s="16" t="n">
        <f aca="false">IF(OR(A149="",C149="External driver"),0,IF(COUNTIFS(D$5:D149,D149,B$5:B149,B149,C$5:C149,"&lt;&gt;External driver")=1,1,0))</f>
        <v>0</v>
      </c>
    </row>
    <row r="150" customFormat="false" ht="15" hidden="false" customHeight="false" outlineLevel="0" collapsed="false">
      <c r="B150" s="8" t="str">
        <f aca="false">IF(A150="","",IFERROR(INDEX(Evidence_Log!$B:$B,MATCH(A150,Evidence_Log!$A:$A,0)),"check ID"))</f>
        <v/>
      </c>
      <c r="I150" s="16" t="n">
        <f aca="false">IF(OR(A150="",C150="External driver"),0,IF(COUNTIFS(D$5:D150,D150,B$5:B150,B150,C$5:C150,"&lt;&gt;External driver")=1,1,0))</f>
        <v>0</v>
      </c>
    </row>
    <row r="151" customFormat="false" ht="15" hidden="false" customHeight="false" outlineLevel="0" collapsed="false">
      <c r="B151" s="8" t="str">
        <f aca="false">IF(A151="","",IFERROR(INDEX(Evidence_Log!$B:$B,MATCH(A151,Evidence_Log!$A:$A,0)),"check ID"))</f>
        <v/>
      </c>
      <c r="I151" s="16" t="n">
        <f aca="false">IF(OR(A151="",C151="External driver"),0,IF(COUNTIFS(D$5:D151,D151,B$5:B151,B151,C$5:C151,"&lt;&gt;External driver")=1,1,0))</f>
        <v>0</v>
      </c>
    </row>
    <row r="152" customFormat="false" ht="15" hidden="false" customHeight="false" outlineLevel="0" collapsed="false">
      <c r="B152" s="8" t="str">
        <f aca="false">IF(A152="","",IFERROR(INDEX(Evidence_Log!$B:$B,MATCH(A152,Evidence_Log!$A:$A,0)),"check ID"))</f>
        <v/>
      </c>
      <c r="I152" s="16" t="n">
        <f aca="false">IF(OR(A152="",C152="External driver"),0,IF(COUNTIFS(D$5:D152,D152,B$5:B152,B152,C$5:C152,"&lt;&gt;External driver")=1,1,0))</f>
        <v>0</v>
      </c>
    </row>
    <row r="153" customFormat="false" ht="15" hidden="false" customHeight="false" outlineLevel="0" collapsed="false">
      <c r="B153" s="8" t="str">
        <f aca="false">IF(A153="","",IFERROR(INDEX(Evidence_Log!$B:$B,MATCH(A153,Evidence_Log!$A:$A,0)),"check ID"))</f>
        <v/>
      </c>
      <c r="I153" s="16" t="n">
        <f aca="false">IF(OR(A153="",C153="External driver"),0,IF(COUNTIFS(D$5:D153,D153,B$5:B153,B153,C$5:C153,"&lt;&gt;External driver")=1,1,0))</f>
        <v>0</v>
      </c>
    </row>
    <row r="154" customFormat="false" ht="15" hidden="false" customHeight="false" outlineLevel="0" collapsed="false">
      <c r="B154" s="8" t="str">
        <f aca="false">IF(A154="","",IFERROR(INDEX(Evidence_Log!$B:$B,MATCH(A154,Evidence_Log!$A:$A,0)),"check ID"))</f>
        <v/>
      </c>
      <c r="I154" s="16" t="n">
        <f aca="false">IF(OR(A154="",C154="External driver"),0,IF(COUNTIFS(D$5:D154,D154,B$5:B154,B154,C$5:C154,"&lt;&gt;External driver")=1,1,0))</f>
        <v>0</v>
      </c>
    </row>
    <row r="155" customFormat="false" ht="15" hidden="false" customHeight="false" outlineLevel="0" collapsed="false">
      <c r="B155" s="8" t="str">
        <f aca="false">IF(A155="","",IFERROR(INDEX(Evidence_Log!$B:$B,MATCH(A155,Evidence_Log!$A:$A,0)),"check ID"))</f>
        <v/>
      </c>
      <c r="I155" s="16" t="n">
        <f aca="false">IF(OR(A155="",C155="External driver"),0,IF(COUNTIFS(D$5:D155,D155,B$5:B155,B155,C$5:C155,"&lt;&gt;External driver")=1,1,0))</f>
        <v>0</v>
      </c>
    </row>
    <row r="156" customFormat="false" ht="15" hidden="false" customHeight="false" outlineLevel="0" collapsed="false">
      <c r="B156" s="8" t="str">
        <f aca="false">IF(A156="","",IFERROR(INDEX(Evidence_Log!$B:$B,MATCH(A156,Evidence_Log!$A:$A,0)),"check ID"))</f>
        <v/>
      </c>
      <c r="I156" s="16" t="n">
        <f aca="false">IF(OR(A156="",C156="External driver"),0,IF(COUNTIFS(D$5:D156,D156,B$5:B156,B156,C$5:C156,"&lt;&gt;External driver")=1,1,0))</f>
        <v>0</v>
      </c>
    </row>
    <row r="157" customFormat="false" ht="15" hidden="false" customHeight="false" outlineLevel="0" collapsed="false">
      <c r="B157" s="8" t="str">
        <f aca="false">IF(A157="","",IFERROR(INDEX(Evidence_Log!$B:$B,MATCH(A157,Evidence_Log!$A:$A,0)),"check ID"))</f>
        <v/>
      </c>
      <c r="I157" s="16" t="n">
        <f aca="false">IF(OR(A157="",C157="External driver"),0,IF(COUNTIFS(D$5:D157,D157,B$5:B157,B157,C$5:C157,"&lt;&gt;External driver")=1,1,0))</f>
        <v>0</v>
      </c>
    </row>
    <row r="158" customFormat="false" ht="15" hidden="false" customHeight="false" outlineLevel="0" collapsed="false">
      <c r="B158" s="8" t="str">
        <f aca="false">IF(A158="","",IFERROR(INDEX(Evidence_Log!$B:$B,MATCH(A158,Evidence_Log!$A:$A,0)),"check ID"))</f>
        <v/>
      </c>
      <c r="I158" s="16" t="n">
        <f aca="false">IF(OR(A158="",C158="External driver"),0,IF(COUNTIFS(D$5:D158,D158,B$5:B158,B158,C$5:C158,"&lt;&gt;External driver")=1,1,0))</f>
        <v>0</v>
      </c>
    </row>
    <row r="159" customFormat="false" ht="15" hidden="false" customHeight="false" outlineLevel="0" collapsed="false">
      <c r="B159" s="8" t="str">
        <f aca="false">IF(A159="","",IFERROR(INDEX(Evidence_Log!$B:$B,MATCH(A159,Evidence_Log!$A:$A,0)),"check ID"))</f>
        <v/>
      </c>
      <c r="I159" s="16" t="n">
        <f aca="false">IF(OR(A159="",C159="External driver"),0,IF(COUNTIFS(D$5:D159,D159,B$5:B159,B159,C$5:C159,"&lt;&gt;External driver")=1,1,0))</f>
        <v>0</v>
      </c>
    </row>
    <row r="160" customFormat="false" ht="15" hidden="false" customHeight="false" outlineLevel="0" collapsed="false">
      <c r="B160" s="8" t="str">
        <f aca="false">IF(A160="","",IFERROR(INDEX(Evidence_Log!$B:$B,MATCH(A160,Evidence_Log!$A:$A,0)),"check ID"))</f>
        <v/>
      </c>
      <c r="I160" s="16" t="n">
        <f aca="false">IF(OR(A160="",C160="External driver"),0,IF(COUNTIFS(D$5:D160,D160,B$5:B160,B160,C$5:C160,"&lt;&gt;External driver")=1,1,0))</f>
        <v>0</v>
      </c>
    </row>
    <row r="161" customFormat="false" ht="15" hidden="false" customHeight="false" outlineLevel="0" collapsed="false">
      <c r="B161" s="8" t="str">
        <f aca="false">IF(A161="","",IFERROR(INDEX(Evidence_Log!$B:$B,MATCH(A161,Evidence_Log!$A:$A,0)),"check ID"))</f>
        <v/>
      </c>
      <c r="I161" s="16" t="n">
        <f aca="false">IF(OR(A161="",C161="External driver"),0,IF(COUNTIFS(D$5:D161,D161,B$5:B161,B161,C$5:C161,"&lt;&gt;External driver")=1,1,0))</f>
        <v>0</v>
      </c>
    </row>
    <row r="162" customFormat="false" ht="15" hidden="false" customHeight="false" outlineLevel="0" collapsed="false">
      <c r="B162" s="8" t="str">
        <f aca="false">IF(A162="","",IFERROR(INDEX(Evidence_Log!$B:$B,MATCH(A162,Evidence_Log!$A:$A,0)),"check ID"))</f>
        <v/>
      </c>
      <c r="I162" s="16" t="n">
        <f aca="false">IF(OR(A162="",C162="External driver"),0,IF(COUNTIFS(D$5:D162,D162,B$5:B162,B162,C$5:C162,"&lt;&gt;External driver")=1,1,0))</f>
        <v>0</v>
      </c>
    </row>
    <row r="163" customFormat="false" ht="15" hidden="false" customHeight="false" outlineLevel="0" collapsed="false">
      <c r="B163" s="8" t="str">
        <f aca="false">IF(A163="","",IFERROR(INDEX(Evidence_Log!$B:$B,MATCH(A163,Evidence_Log!$A:$A,0)),"check ID"))</f>
        <v/>
      </c>
      <c r="I163" s="16" t="n">
        <f aca="false">IF(OR(A163="",C163="External driver"),0,IF(COUNTIFS(D$5:D163,D163,B$5:B163,B163,C$5:C163,"&lt;&gt;External driver")=1,1,0))</f>
        <v>0</v>
      </c>
    </row>
    <row r="164" customFormat="false" ht="15" hidden="false" customHeight="false" outlineLevel="0" collapsed="false">
      <c r="B164" s="8" t="str">
        <f aca="false">IF(A164="","",IFERROR(INDEX(Evidence_Log!$B:$B,MATCH(A164,Evidence_Log!$A:$A,0)),"check ID"))</f>
        <v/>
      </c>
      <c r="I164" s="16" t="n">
        <f aca="false">IF(OR(A164="",C164="External driver"),0,IF(COUNTIFS(D$5:D164,D164,B$5:B164,B164,C$5:C164,"&lt;&gt;External driver")=1,1,0))</f>
        <v>0</v>
      </c>
    </row>
    <row r="165" customFormat="false" ht="15" hidden="false" customHeight="false" outlineLevel="0" collapsed="false">
      <c r="B165" s="8" t="str">
        <f aca="false">IF(A165="","",IFERROR(INDEX(Evidence_Log!$B:$B,MATCH(A165,Evidence_Log!$A:$A,0)),"check ID"))</f>
        <v/>
      </c>
      <c r="I165" s="16" t="n">
        <f aca="false">IF(OR(A165="",C165="External driver"),0,IF(COUNTIFS(D$5:D165,D165,B$5:B165,B165,C$5:C165,"&lt;&gt;External driver")=1,1,0))</f>
        <v>0</v>
      </c>
    </row>
    <row r="166" customFormat="false" ht="15" hidden="false" customHeight="false" outlineLevel="0" collapsed="false">
      <c r="B166" s="8" t="str">
        <f aca="false">IF(A166="","",IFERROR(INDEX(Evidence_Log!$B:$B,MATCH(A166,Evidence_Log!$A:$A,0)),"check ID"))</f>
        <v/>
      </c>
      <c r="I166" s="16" t="n">
        <f aca="false">IF(OR(A166="",C166="External driver"),0,IF(COUNTIFS(D$5:D166,D166,B$5:B166,B166,C$5:C166,"&lt;&gt;External driver")=1,1,0))</f>
        <v>0</v>
      </c>
    </row>
    <row r="167" customFormat="false" ht="15" hidden="false" customHeight="false" outlineLevel="0" collapsed="false">
      <c r="B167" s="8" t="str">
        <f aca="false">IF(A167="","",IFERROR(INDEX(Evidence_Log!$B:$B,MATCH(A167,Evidence_Log!$A:$A,0)),"check ID"))</f>
        <v/>
      </c>
      <c r="I167" s="16" t="n">
        <f aca="false">IF(OR(A167="",C167="External driver"),0,IF(COUNTIFS(D$5:D167,D167,B$5:B167,B167,C$5:C167,"&lt;&gt;External driver")=1,1,0))</f>
        <v>0</v>
      </c>
    </row>
    <row r="168" customFormat="false" ht="15" hidden="false" customHeight="false" outlineLevel="0" collapsed="false">
      <c r="B168" s="8" t="str">
        <f aca="false">IF(A168="","",IFERROR(INDEX(Evidence_Log!$B:$B,MATCH(A168,Evidence_Log!$A:$A,0)),"check ID"))</f>
        <v/>
      </c>
      <c r="I168" s="16" t="n">
        <f aca="false">IF(OR(A168="",C168="External driver"),0,IF(COUNTIFS(D$5:D168,D168,B$5:B168,B168,C$5:C168,"&lt;&gt;External driver")=1,1,0))</f>
        <v>0</v>
      </c>
    </row>
    <row r="169" customFormat="false" ht="15" hidden="false" customHeight="false" outlineLevel="0" collapsed="false">
      <c r="B169" s="8" t="str">
        <f aca="false">IF(A169="","",IFERROR(INDEX(Evidence_Log!$B:$B,MATCH(A169,Evidence_Log!$A:$A,0)),"check ID"))</f>
        <v/>
      </c>
      <c r="I169" s="16" t="n">
        <f aca="false">IF(OR(A169="",C169="External driver"),0,IF(COUNTIFS(D$5:D169,D169,B$5:B169,B169,C$5:C169,"&lt;&gt;External driver")=1,1,0))</f>
        <v>0</v>
      </c>
    </row>
    <row r="170" customFormat="false" ht="15" hidden="false" customHeight="false" outlineLevel="0" collapsed="false">
      <c r="B170" s="8" t="str">
        <f aca="false">IF(A170="","",IFERROR(INDEX(Evidence_Log!$B:$B,MATCH(A170,Evidence_Log!$A:$A,0)),"check ID"))</f>
        <v/>
      </c>
      <c r="I170" s="16" t="n">
        <f aca="false">IF(OR(A170="",C170="External driver"),0,IF(COUNTIFS(D$5:D170,D170,B$5:B170,B170,C$5:C170,"&lt;&gt;External driver")=1,1,0))</f>
        <v>0</v>
      </c>
    </row>
    <row r="171" customFormat="false" ht="15" hidden="false" customHeight="false" outlineLevel="0" collapsed="false">
      <c r="B171" s="8" t="str">
        <f aca="false">IF(A171="","",IFERROR(INDEX(Evidence_Log!$B:$B,MATCH(A171,Evidence_Log!$A:$A,0)),"check ID"))</f>
        <v/>
      </c>
      <c r="I171" s="16" t="n">
        <f aca="false">IF(OR(A171="",C171="External driver"),0,IF(COUNTIFS(D$5:D171,D171,B$5:B171,B171,C$5:C171,"&lt;&gt;External driver")=1,1,0))</f>
        <v>0</v>
      </c>
    </row>
    <row r="172" customFormat="false" ht="15" hidden="false" customHeight="false" outlineLevel="0" collapsed="false">
      <c r="B172" s="8" t="str">
        <f aca="false">IF(A172="","",IFERROR(INDEX(Evidence_Log!$B:$B,MATCH(A172,Evidence_Log!$A:$A,0)),"check ID"))</f>
        <v/>
      </c>
      <c r="I172" s="16" t="n">
        <f aca="false">IF(OR(A172="",C172="External driver"),0,IF(COUNTIFS(D$5:D172,D172,B$5:B172,B172,C$5:C172,"&lt;&gt;External driver")=1,1,0))</f>
        <v>0</v>
      </c>
    </row>
    <row r="173" customFormat="false" ht="15" hidden="false" customHeight="false" outlineLevel="0" collapsed="false">
      <c r="B173" s="8" t="str">
        <f aca="false">IF(A173="","",IFERROR(INDEX(Evidence_Log!$B:$B,MATCH(A173,Evidence_Log!$A:$A,0)),"check ID"))</f>
        <v/>
      </c>
      <c r="I173" s="16" t="n">
        <f aca="false">IF(OR(A173="",C173="External driver"),0,IF(COUNTIFS(D$5:D173,D173,B$5:B173,B173,C$5:C173,"&lt;&gt;External driver")=1,1,0))</f>
        <v>0</v>
      </c>
    </row>
    <row r="174" customFormat="false" ht="15" hidden="false" customHeight="false" outlineLevel="0" collapsed="false">
      <c r="B174" s="8" t="str">
        <f aca="false">IF(A174="","",IFERROR(INDEX(Evidence_Log!$B:$B,MATCH(A174,Evidence_Log!$A:$A,0)),"check ID"))</f>
        <v/>
      </c>
      <c r="I174" s="16" t="n">
        <f aca="false">IF(OR(A174="",C174="External driver"),0,IF(COUNTIFS(D$5:D174,D174,B$5:B174,B174,C$5:C174,"&lt;&gt;External driver")=1,1,0))</f>
        <v>0</v>
      </c>
    </row>
    <row r="175" customFormat="false" ht="15" hidden="false" customHeight="false" outlineLevel="0" collapsed="false">
      <c r="B175" s="8" t="str">
        <f aca="false">IF(A175="","",IFERROR(INDEX(Evidence_Log!$B:$B,MATCH(A175,Evidence_Log!$A:$A,0)),"check ID"))</f>
        <v/>
      </c>
      <c r="I175" s="16" t="n">
        <f aca="false">IF(OR(A175="",C175="External driver"),0,IF(COUNTIFS(D$5:D175,D175,B$5:B175,B175,C$5:C175,"&lt;&gt;External driver")=1,1,0))</f>
        <v>0</v>
      </c>
    </row>
    <row r="176" customFormat="false" ht="15" hidden="false" customHeight="false" outlineLevel="0" collapsed="false">
      <c r="B176" s="8" t="str">
        <f aca="false">IF(A176="","",IFERROR(INDEX(Evidence_Log!$B:$B,MATCH(A176,Evidence_Log!$A:$A,0)),"check ID"))</f>
        <v/>
      </c>
      <c r="I176" s="16" t="n">
        <f aca="false">IF(OR(A176="",C176="External driver"),0,IF(COUNTIFS(D$5:D176,D176,B$5:B176,B176,C$5:C176,"&lt;&gt;External driver")=1,1,0))</f>
        <v>0</v>
      </c>
    </row>
    <row r="177" customFormat="false" ht="15" hidden="false" customHeight="false" outlineLevel="0" collapsed="false">
      <c r="B177" s="8" t="str">
        <f aca="false">IF(A177="","",IFERROR(INDEX(Evidence_Log!$B:$B,MATCH(A177,Evidence_Log!$A:$A,0)),"check ID"))</f>
        <v/>
      </c>
      <c r="I177" s="16" t="n">
        <f aca="false">IF(OR(A177="",C177="External driver"),0,IF(COUNTIFS(D$5:D177,D177,B$5:B177,B177,C$5:C177,"&lt;&gt;External driver")=1,1,0))</f>
        <v>0</v>
      </c>
    </row>
    <row r="178" customFormat="false" ht="15" hidden="false" customHeight="false" outlineLevel="0" collapsed="false">
      <c r="B178" s="8" t="str">
        <f aca="false">IF(A178="","",IFERROR(INDEX(Evidence_Log!$B:$B,MATCH(A178,Evidence_Log!$A:$A,0)),"check ID"))</f>
        <v/>
      </c>
      <c r="I178" s="16" t="n">
        <f aca="false">IF(OR(A178="",C178="External driver"),0,IF(COUNTIFS(D$5:D178,D178,B$5:B178,B178,C$5:C178,"&lt;&gt;External driver")=1,1,0))</f>
        <v>0</v>
      </c>
    </row>
    <row r="179" customFormat="false" ht="15" hidden="false" customHeight="false" outlineLevel="0" collapsed="false">
      <c r="B179" s="8" t="str">
        <f aca="false">IF(A179="","",IFERROR(INDEX(Evidence_Log!$B:$B,MATCH(A179,Evidence_Log!$A:$A,0)),"check ID"))</f>
        <v/>
      </c>
      <c r="I179" s="16" t="n">
        <f aca="false">IF(OR(A179="",C179="External driver"),0,IF(COUNTIFS(D$5:D179,D179,B$5:B179,B179,C$5:C179,"&lt;&gt;External driver")=1,1,0))</f>
        <v>0</v>
      </c>
    </row>
    <row r="180" customFormat="false" ht="15" hidden="false" customHeight="false" outlineLevel="0" collapsed="false">
      <c r="B180" s="8" t="str">
        <f aca="false">IF(A180="","",IFERROR(INDEX(Evidence_Log!$B:$B,MATCH(A180,Evidence_Log!$A:$A,0)),"check ID"))</f>
        <v/>
      </c>
      <c r="I180" s="16" t="n">
        <f aca="false">IF(OR(A180="",C180="External driver"),0,IF(COUNTIFS(D$5:D180,D180,B$5:B180,B180,C$5:C180,"&lt;&gt;External driver")=1,1,0))</f>
        <v>0</v>
      </c>
    </row>
    <row r="181" customFormat="false" ht="15" hidden="false" customHeight="false" outlineLevel="0" collapsed="false">
      <c r="B181" s="8" t="str">
        <f aca="false">IF(A181="","",IFERROR(INDEX(Evidence_Log!$B:$B,MATCH(A181,Evidence_Log!$A:$A,0)),"check ID"))</f>
        <v/>
      </c>
      <c r="I181" s="16" t="n">
        <f aca="false">IF(OR(A181="",C181="External driver"),0,IF(COUNTIFS(D$5:D181,D181,B$5:B181,B181,C$5:C181,"&lt;&gt;External driver")=1,1,0))</f>
        <v>0</v>
      </c>
    </row>
    <row r="182" customFormat="false" ht="15" hidden="false" customHeight="false" outlineLevel="0" collapsed="false">
      <c r="B182" s="8" t="str">
        <f aca="false">IF(A182="","",IFERROR(INDEX(Evidence_Log!$B:$B,MATCH(A182,Evidence_Log!$A:$A,0)),"check ID"))</f>
        <v/>
      </c>
      <c r="I182" s="16" t="n">
        <f aca="false">IF(OR(A182="",C182="External driver"),0,IF(COUNTIFS(D$5:D182,D182,B$5:B182,B182,C$5:C182,"&lt;&gt;External driver")=1,1,0))</f>
        <v>0</v>
      </c>
    </row>
    <row r="183" customFormat="false" ht="15" hidden="false" customHeight="false" outlineLevel="0" collapsed="false">
      <c r="B183" s="8" t="str">
        <f aca="false">IF(A183="","",IFERROR(INDEX(Evidence_Log!$B:$B,MATCH(A183,Evidence_Log!$A:$A,0)),"check ID"))</f>
        <v/>
      </c>
      <c r="I183" s="16" t="n">
        <f aca="false">IF(OR(A183="",C183="External driver"),0,IF(COUNTIFS(D$5:D183,D183,B$5:B183,B183,C$5:C183,"&lt;&gt;External driver")=1,1,0))</f>
        <v>0</v>
      </c>
    </row>
    <row r="184" customFormat="false" ht="15" hidden="false" customHeight="false" outlineLevel="0" collapsed="false">
      <c r="B184" s="8" t="str">
        <f aca="false">IF(A184="","",IFERROR(INDEX(Evidence_Log!$B:$B,MATCH(A184,Evidence_Log!$A:$A,0)),"check ID"))</f>
        <v/>
      </c>
      <c r="I184" s="16" t="n">
        <f aca="false">IF(OR(A184="",C184="External driver"),0,IF(COUNTIFS(D$5:D184,D184,B$5:B184,B184,C$5:C184,"&lt;&gt;External driver")=1,1,0))</f>
        <v>0</v>
      </c>
    </row>
    <row r="185" customFormat="false" ht="15" hidden="false" customHeight="false" outlineLevel="0" collapsed="false">
      <c r="B185" s="8" t="str">
        <f aca="false">IF(A185="","",IFERROR(INDEX(Evidence_Log!$B:$B,MATCH(A185,Evidence_Log!$A:$A,0)),"check ID"))</f>
        <v/>
      </c>
      <c r="I185" s="16" t="n">
        <f aca="false">IF(OR(A185="",C185="External driver"),0,IF(COUNTIFS(D$5:D185,D185,B$5:B185,B185,C$5:C185,"&lt;&gt;External driver")=1,1,0))</f>
        <v>0</v>
      </c>
    </row>
    <row r="186" customFormat="false" ht="15" hidden="false" customHeight="false" outlineLevel="0" collapsed="false">
      <c r="B186" s="8" t="str">
        <f aca="false">IF(A186="","",IFERROR(INDEX(Evidence_Log!$B:$B,MATCH(A186,Evidence_Log!$A:$A,0)),"check ID"))</f>
        <v/>
      </c>
      <c r="I186" s="16" t="n">
        <f aca="false">IF(OR(A186="",C186="External driver"),0,IF(COUNTIFS(D$5:D186,D186,B$5:B186,B186,C$5:C186,"&lt;&gt;External driver")=1,1,0))</f>
        <v>0</v>
      </c>
    </row>
    <row r="187" customFormat="false" ht="15" hidden="false" customHeight="false" outlineLevel="0" collapsed="false">
      <c r="B187" s="8" t="str">
        <f aca="false">IF(A187="","",IFERROR(INDEX(Evidence_Log!$B:$B,MATCH(A187,Evidence_Log!$A:$A,0)),"check ID"))</f>
        <v/>
      </c>
      <c r="I187" s="16" t="n">
        <f aca="false">IF(OR(A187="",C187="External driver"),0,IF(COUNTIFS(D$5:D187,D187,B$5:B187,B187,C$5:C187,"&lt;&gt;External driver")=1,1,0))</f>
        <v>0</v>
      </c>
    </row>
    <row r="188" customFormat="false" ht="15" hidden="false" customHeight="false" outlineLevel="0" collapsed="false">
      <c r="B188" s="8" t="str">
        <f aca="false">IF(A188="","",IFERROR(INDEX(Evidence_Log!$B:$B,MATCH(A188,Evidence_Log!$A:$A,0)),"check ID"))</f>
        <v/>
      </c>
      <c r="I188" s="16" t="n">
        <f aca="false">IF(OR(A188="",C188="External driver"),0,IF(COUNTIFS(D$5:D188,D188,B$5:B188,B188,C$5:C188,"&lt;&gt;External driver")=1,1,0))</f>
        <v>0</v>
      </c>
    </row>
    <row r="189" customFormat="false" ht="15" hidden="false" customHeight="false" outlineLevel="0" collapsed="false">
      <c r="B189" s="8" t="str">
        <f aca="false">IF(A189="","",IFERROR(INDEX(Evidence_Log!$B:$B,MATCH(A189,Evidence_Log!$A:$A,0)),"check ID"))</f>
        <v/>
      </c>
      <c r="I189" s="16" t="n">
        <f aca="false">IF(OR(A189="",C189="External driver"),0,IF(COUNTIFS(D$5:D189,D189,B$5:B189,B189,C$5:C189,"&lt;&gt;External driver")=1,1,0))</f>
        <v>0</v>
      </c>
    </row>
    <row r="190" customFormat="false" ht="15" hidden="false" customHeight="false" outlineLevel="0" collapsed="false">
      <c r="B190" s="8" t="str">
        <f aca="false">IF(A190="","",IFERROR(INDEX(Evidence_Log!$B:$B,MATCH(A190,Evidence_Log!$A:$A,0)),"check ID"))</f>
        <v/>
      </c>
      <c r="I190" s="16" t="n">
        <f aca="false">IF(OR(A190="",C190="External driver"),0,IF(COUNTIFS(D$5:D190,D190,B$5:B190,B190,C$5:C190,"&lt;&gt;External driver")=1,1,0))</f>
        <v>0</v>
      </c>
    </row>
    <row r="191" customFormat="false" ht="15" hidden="false" customHeight="false" outlineLevel="0" collapsed="false">
      <c r="B191" s="8" t="str">
        <f aca="false">IF(A191="","",IFERROR(INDEX(Evidence_Log!$B:$B,MATCH(A191,Evidence_Log!$A:$A,0)),"check ID"))</f>
        <v/>
      </c>
      <c r="I191" s="16" t="n">
        <f aca="false">IF(OR(A191="",C191="External driver"),0,IF(COUNTIFS(D$5:D191,D191,B$5:B191,B191,C$5:C191,"&lt;&gt;External driver")=1,1,0))</f>
        <v>0</v>
      </c>
    </row>
    <row r="192" customFormat="false" ht="15" hidden="false" customHeight="false" outlineLevel="0" collapsed="false">
      <c r="B192" s="8" t="str">
        <f aca="false">IF(A192="","",IFERROR(INDEX(Evidence_Log!$B:$B,MATCH(A192,Evidence_Log!$A:$A,0)),"check ID"))</f>
        <v/>
      </c>
      <c r="I192" s="16" t="n">
        <f aca="false">IF(OR(A192="",C192="External driver"),0,IF(COUNTIFS(D$5:D192,D192,B$5:B192,B192,C$5:C192,"&lt;&gt;External driver")=1,1,0))</f>
        <v>0</v>
      </c>
    </row>
    <row r="193" customFormat="false" ht="15" hidden="false" customHeight="false" outlineLevel="0" collapsed="false">
      <c r="B193" s="8" t="str">
        <f aca="false">IF(A193="","",IFERROR(INDEX(Evidence_Log!$B:$B,MATCH(A193,Evidence_Log!$A:$A,0)),"check ID"))</f>
        <v/>
      </c>
      <c r="I193" s="16" t="n">
        <f aca="false">IF(OR(A193="",C193="External driver"),0,IF(COUNTIFS(D$5:D193,D193,B$5:B193,B193,C$5:C193,"&lt;&gt;External driver")=1,1,0))</f>
        <v>0</v>
      </c>
    </row>
    <row r="194" customFormat="false" ht="15" hidden="false" customHeight="false" outlineLevel="0" collapsed="false">
      <c r="B194" s="8" t="str">
        <f aca="false">IF(A194="","",IFERROR(INDEX(Evidence_Log!$B:$B,MATCH(A194,Evidence_Log!$A:$A,0)),"check ID"))</f>
        <v/>
      </c>
      <c r="I194" s="16" t="n">
        <f aca="false">IF(OR(A194="",C194="External driver"),0,IF(COUNTIFS(D$5:D194,D194,B$5:B194,B194,C$5:C194,"&lt;&gt;External driver")=1,1,0))</f>
        <v>0</v>
      </c>
    </row>
    <row r="195" customFormat="false" ht="15" hidden="false" customHeight="false" outlineLevel="0" collapsed="false">
      <c r="B195" s="8" t="str">
        <f aca="false">IF(A195="","",IFERROR(INDEX(Evidence_Log!$B:$B,MATCH(A195,Evidence_Log!$A:$A,0)),"check ID"))</f>
        <v/>
      </c>
      <c r="I195" s="16" t="n">
        <f aca="false">IF(OR(A195="",C195="External driver"),0,IF(COUNTIFS(D$5:D195,D195,B$5:B195,B195,C$5:C195,"&lt;&gt;External driver")=1,1,0))</f>
        <v>0</v>
      </c>
    </row>
    <row r="196" customFormat="false" ht="15" hidden="false" customHeight="false" outlineLevel="0" collapsed="false">
      <c r="B196" s="8" t="str">
        <f aca="false">IF(A196="","",IFERROR(INDEX(Evidence_Log!$B:$B,MATCH(A196,Evidence_Log!$A:$A,0)),"check ID"))</f>
        <v/>
      </c>
      <c r="I196" s="16" t="n">
        <f aca="false">IF(OR(A196="",C196="External driver"),0,IF(COUNTIFS(D$5:D196,D196,B$5:B196,B196,C$5:C196,"&lt;&gt;External driver")=1,1,0))</f>
        <v>0</v>
      </c>
    </row>
    <row r="197" customFormat="false" ht="15" hidden="false" customHeight="false" outlineLevel="0" collapsed="false">
      <c r="B197" s="8" t="str">
        <f aca="false">IF(A197="","",IFERROR(INDEX(Evidence_Log!$B:$B,MATCH(A197,Evidence_Log!$A:$A,0)),"check ID"))</f>
        <v/>
      </c>
      <c r="I197" s="16" t="n">
        <f aca="false">IF(OR(A197="",C197="External driver"),0,IF(COUNTIFS(D$5:D197,D197,B$5:B197,B197,C$5:C197,"&lt;&gt;External driver")=1,1,0))</f>
        <v>0</v>
      </c>
    </row>
    <row r="198" customFormat="false" ht="15" hidden="false" customHeight="false" outlineLevel="0" collapsed="false">
      <c r="B198" s="8" t="str">
        <f aca="false">IF(A198="","",IFERROR(INDEX(Evidence_Log!$B:$B,MATCH(A198,Evidence_Log!$A:$A,0)),"check ID"))</f>
        <v/>
      </c>
      <c r="I198" s="16" t="n">
        <f aca="false">IF(OR(A198="",C198="External driver"),0,IF(COUNTIFS(D$5:D198,D198,B$5:B198,B198,C$5:C198,"&lt;&gt;External driver")=1,1,0))</f>
        <v>0</v>
      </c>
    </row>
    <row r="199" customFormat="false" ht="15" hidden="false" customHeight="false" outlineLevel="0" collapsed="false">
      <c r="B199" s="8" t="str">
        <f aca="false">IF(A199="","",IFERROR(INDEX(Evidence_Log!$B:$B,MATCH(A199,Evidence_Log!$A:$A,0)),"check ID"))</f>
        <v/>
      </c>
      <c r="I199" s="16" t="n">
        <f aca="false">IF(OR(A199="",C199="External driver"),0,IF(COUNTIFS(D$5:D199,D199,B$5:B199,B199,C$5:C199,"&lt;&gt;External driver")=1,1,0))</f>
        <v>0</v>
      </c>
    </row>
    <row r="200" customFormat="false" ht="15" hidden="false" customHeight="false" outlineLevel="0" collapsed="false">
      <c r="B200" s="8" t="str">
        <f aca="false">IF(A200="","",IFERROR(INDEX(Evidence_Log!$B:$B,MATCH(A200,Evidence_Log!$A:$A,0)),"check ID"))</f>
        <v/>
      </c>
      <c r="I200" s="16" t="n">
        <f aca="false">IF(OR(A200="",C200="External driver"),0,IF(COUNTIFS(D$5:D200,D200,B$5:B200,B200,C$5:C200,"&lt;&gt;External driver")=1,1,0))</f>
        <v>0</v>
      </c>
    </row>
    <row r="201" customFormat="false" ht="15" hidden="false" customHeight="false" outlineLevel="0" collapsed="false">
      <c r="B201" s="8" t="str">
        <f aca="false">IF(A201="","",IFERROR(INDEX(Evidence_Log!$B:$B,MATCH(A201,Evidence_Log!$A:$A,0)),"check ID"))</f>
        <v/>
      </c>
      <c r="I201" s="16" t="n">
        <f aca="false">IF(OR(A201="",C201="External driver"),0,IF(COUNTIFS(D$5:D201,D201,B$5:B201,B201,C$5:C201,"&lt;&gt;External driver")=1,1,0))</f>
        <v>0</v>
      </c>
    </row>
    <row r="202" customFormat="false" ht="15" hidden="false" customHeight="false" outlineLevel="0" collapsed="false">
      <c r="B202" s="8" t="str">
        <f aca="false">IF(A202="","",IFERROR(INDEX(Evidence_Log!$B:$B,MATCH(A202,Evidence_Log!$A:$A,0)),"check ID"))</f>
        <v/>
      </c>
      <c r="I202" s="16" t="n">
        <f aca="false">IF(OR(A202="",C202="External driver"),0,IF(COUNTIFS(D$5:D202,D202,B$5:B202,B202,C$5:C202,"&lt;&gt;External driver")=1,1,0))</f>
        <v>0</v>
      </c>
    </row>
    <row r="203" customFormat="false" ht="15" hidden="false" customHeight="false" outlineLevel="0" collapsed="false">
      <c r="B203" s="8" t="str">
        <f aca="false">IF(A203="","",IFERROR(INDEX(Evidence_Log!$B:$B,MATCH(A203,Evidence_Log!$A:$A,0)),"check ID"))</f>
        <v/>
      </c>
      <c r="I203" s="16" t="n">
        <f aca="false">IF(OR(A203="",C203="External driver"),0,IF(COUNTIFS(D$5:D203,D203,B$5:B203,B203,C$5:C203,"&lt;&gt;External driver")=1,1,0))</f>
        <v>0</v>
      </c>
    </row>
    <row r="204" customFormat="false" ht="15" hidden="false" customHeight="false" outlineLevel="0" collapsed="false">
      <c r="B204" s="8" t="str">
        <f aca="false">IF(A204="","",IFERROR(INDEX(Evidence_Log!$B:$B,MATCH(A204,Evidence_Log!$A:$A,0)),"check ID"))</f>
        <v/>
      </c>
      <c r="I204" s="16" t="n">
        <f aca="false">IF(OR(A204="",C204="External driver"),0,IF(COUNTIFS(D$5:D204,D204,B$5:B204,B204,C$5:C204,"&lt;&gt;External driver")=1,1,0))</f>
        <v>0</v>
      </c>
    </row>
    <row r="205" customFormat="false" ht="15" hidden="false" customHeight="false" outlineLevel="0" collapsed="false">
      <c r="B205" s="8" t="str">
        <f aca="false">IF(A205="","",IFERROR(INDEX(Evidence_Log!$B:$B,MATCH(A205,Evidence_Log!$A:$A,0)),"check ID"))</f>
        <v/>
      </c>
      <c r="I205" s="16" t="n">
        <f aca="false">IF(OR(A205="",C205="External driver"),0,IF(COUNTIFS(D$5:D205,D205,B$5:B205,B205,C$5:C205,"&lt;&gt;External driver")=1,1,0))</f>
        <v>0</v>
      </c>
    </row>
    <row r="206" customFormat="false" ht="15" hidden="false" customHeight="false" outlineLevel="0" collapsed="false">
      <c r="B206" s="8" t="str">
        <f aca="false">IF(A206="","",IFERROR(INDEX(Evidence_Log!$B:$B,MATCH(A206,Evidence_Log!$A:$A,0)),"check ID"))</f>
        <v/>
      </c>
      <c r="I206" s="16" t="n">
        <f aca="false">IF(OR(A206="",C206="External driver"),0,IF(COUNTIFS(D$5:D206,D206,B$5:B206,B206,C$5:C206,"&lt;&gt;External driver")=1,1,0))</f>
        <v>0</v>
      </c>
    </row>
    <row r="207" customFormat="false" ht="15" hidden="false" customHeight="false" outlineLevel="0" collapsed="false">
      <c r="B207" s="8" t="str">
        <f aca="false">IF(A207="","",IFERROR(INDEX(Evidence_Log!$B:$B,MATCH(A207,Evidence_Log!$A:$A,0)),"check ID"))</f>
        <v/>
      </c>
      <c r="I207" s="16" t="n">
        <f aca="false">IF(OR(A207="",C207="External driver"),0,IF(COUNTIFS(D$5:D207,D207,B$5:B207,B207,C$5:C207,"&lt;&gt;External driver")=1,1,0))</f>
        <v>0</v>
      </c>
    </row>
    <row r="208" customFormat="false" ht="15" hidden="false" customHeight="false" outlineLevel="0" collapsed="false">
      <c r="B208" s="8" t="str">
        <f aca="false">IF(A208="","",IFERROR(INDEX(Evidence_Log!$B:$B,MATCH(A208,Evidence_Log!$A:$A,0)),"check ID"))</f>
        <v/>
      </c>
      <c r="I208" s="16" t="n">
        <f aca="false">IF(OR(A208="",C208="External driver"),0,IF(COUNTIFS(D$5:D208,D208,B$5:B208,B208,C$5:C208,"&lt;&gt;External driver")=1,1,0))</f>
        <v>0</v>
      </c>
    </row>
    <row r="209" customFormat="false" ht="15" hidden="false" customHeight="false" outlineLevel="0" collapsed="false">
      <c r="B209" s="8" t="str">
        <f aca="false">IF(A209="","",IFERROR(INDEX(Evidence_Log!$B:$B,MATCH(A209,Evidence_Log!$A:$A,0)),"check ID"))</f>
        <v/>
      </c>
      <c r="I209" s="16" t="n">
        <f aca="false">IF(OR(A209="",C209="External driver"),0,IF(COUNTIFS(D$5:D209,D209,B$5:B209,B209,C$5:C209,"&lt;&gt;External driver")=1,1,0))</f>
        <v>0</v>
      </c>
    </row>
    <row r="210" customFormat="false" ht="15" hidden="false" customHeight="false" outlineLevel="0" collapsed="false">
      <c r="B210" s="8" t="str">
        <f aca="false">IF(A210="","",IFERROR(INDEX(Evidence_Log!$B:$B,MATCH(A210,Evidence_Log!$A:$A,0)),"check ID"))</f>
        <v/>
      </c>
      <c r="I210" s="16" t="n">
        <f aca="false">IF(OR(A210="",C210="External driver"),0,IF(COUNTIFS(D$5:D210,D210,B$5:B210,B210,C$5:C210,"&lt;&gt;External driver")=1,1,0))</f>
        <v>0</v>
      </c>
    </row>
    <row r="211" customFormat="false" ht="15" hidden="false" customHeight="false" outlineLevel="0" collapsed="false">
      <c r="B211" s="8" t="str">
        <f aca="false">IF(A211="","",IFERROR(INDEX(Evidence_Log!$B:$B,MATCH(A211,Evidence_Log!$A:$A,0)),"check ID"))</f>
        <v/>
      </c>
      <c r="I211" s="16" t="n">
        <f aca="false">IF(OR(A211="",C211="External driver"),0,IF(COUNTIFS(D$5:D211,D211,B$5:B211,B211,C$5:C211,"&lt;&gt;External driver")=1,1,0))</f>
        <v>0</v>
      </c>
    </row>
    <row r="212" customFormat="false" ht="15" hidden="false" customHeight="false" outlineLevel="0" collapsed="false">
      <c r="B212" s="8" t="str">
        <f aca="false">IF(A212="","",IFERROR(INDEX(Evidence_Log!$B:$B,MATCH(A212,Evidence_Log!$A:$A,0)),"check ID"))</f>
        <v/>
      </c>
      <c r="I212" s="16" t="n">
        <f aca="false">IF(OR(A212="",C212="External driver"),0,IF(COUNTIFS(D$5:D212,D212,B$5:B212,B212,C$5:C212,"&lt;&gt;External driver")=1,1,0))</f>
        <v>0</v>
      </c>
    </row>
    <row r="213" customFormat="false" ht="15" hidden="false" customHeight="false" outlineLevel="0" collapsed="false">
      <c r="B213" s="8" t="str">
        <f aca="false">IF(A213="","",IFERROR(INDEX(Evidence_Log!$B:$B,MATCH(A213,Evidence_Log!$A:$A,0)),"check ID"))</f>
        <v/>
      </c>
      <c r="I213" s="16" t="n">
        <f aca="false">IF(OR(A213="",C213="External driver"),0,IF(COUNTIFS(D$5:D213,D213,B$5:B213,B213,C$5:C213,"&lt;&gt;External driver")=1,1,0))</f>
        <v>0</v>
      </c>
    </row>
    <row r="214" customFormat="false" ht="15" hidden="false" customHeight="false" outlineLevel="0" collapsed="false">
      <c r="B214" s="8" t="str">
        <f aca="false">IF(A214="","",IFERROR(INDEX(Evidence_Log!$B:$B,MATCH(A214,Evidence_Log!$A:$A,0)),"check ID"))</f>
        <v/>
      </c>
      <c r="I214" s="16" t="n">
        <f aca="false">IF(OR(A214="",C214="External driver"),0,IF(COUNTIFS(D$5:D214,D214,B$5:B214,B214,C$5:C214,"&lt;&gt;External driver")=1,1,0))</f>
        <v>0</v>
      </c>
    </row>
    <row r="215" customFormat="false" ht="15" hidden="false" customHeight="false" outlineLevel="0" collapsed="false">
      <c r="B215" s="8" t="str">
        <f aca="false">IF(A215="","",IFERROR(INDEX(Evidence_Log!$B:$B,MATCH(A215,Evidence_Log!$A:$A,0)),"check ID"))</f>
        <v/>
      </c>
      <c r="I215" s="16" t="n">
        <f aca="false">IF(OR(A215="",C215="External driver"),0,IF(COUNTIFS(D$5:D215,D215,B$5:B215,B215,C$5:C215,"&lt;&gt;External driver")=1,1,0))</f>
        <v>0</v>
      </c>
    </row>
    <row r="216" customFormat="false" ht="15" hidden="false" customHeight="false" outlineLevel="0" collapsed="false">
      <c r="B216" s="8" t="str">
        <f aca="false">IF(A216="","",IFERROR(INDEX(Evidence_Log!$B:$B,MATCH(A216,Evidence_Log!$A:$A,0)),"check ID"))</f>
        <v/>
      </c>
      <c r="I216" s="16" t="n">
        <f aca="false">IF(OR(A216="",C216="External driver"),0,IF(COUNTIFS(D$5:D216,D216,B$5:B216,B216,C$5:C216,"&lt;&gt;External driver")=1,1,0))</f>
        <v>0</v>
      </c>
    </row>
    <row r="217" customFormat="false" ht="15" hidden="false" customHeight="false" outlineLevel="0" collapsed="false">
      <c r="B217" s="8" t="str">
        <f aca="false">IF(A217="","",IFERROR(INDEX(Evidence_Log!$B:$B,MATCH(A217,Evidence_Log!$A:$A,0)),"check ID"))</f>
        <v/>
      </c>
      <c r="I217" s="16" t="n">
        <f aca="false">IF(OR(A217="",C217="External driver"),0,IF(COUNTIFS(D$5:D217,D217,B$5:B217,B217,C$5:C217,"&lt;&gt;External driver")=1,1,0))</f>
        <v>0</v>
      </c>
    </row>
    <row r="218" customFormat="false" ht="15" hidden="false" customHeight="false" outlineLevel="0" collapsed="false">
      <c r="B218" s="8" t="str">
        <f aca="false">IF(A218="","",IFERROR(INDEX(Evidence_Log!$B:$B,MATCH(A218,Evidence_Log!$A:$A,0)),"check ID"))</f>
        <v/>
      </c>
      <c r="I218" s="16" t="n">
        <f aca="false">IF(OR(A218="",C218="External driver"),0,IF(COUNTIFS(D$5:D218,D218,B$5:B218,B218,C$5:C218,"&lt;&gt;External driver")=1,1,0))</f>
        <v>0</v>
      </c>
    </row>
    <row r="219" customFormat="false" ht="15" hidden="false" customHeight="false" outlineLevel="0" collapsed="false">
      <c r="B219" s="8" t="str">
        <f aca="false">IF(A219="","",IFERROR(INDEX(Evidence_Log!$B:$B,MATCH(A219,Evidence_Log!$A:$A,0)),"check ID"))</f>
        <v/>
      </c>
      <c r="I219" s="16" t="n">
        <f aca="false">IF(OR(A219="",C219="External driver"),0,IF(COUNTIFS(D$5:D219,D219,B$5:B219,B219,C$5:C219,"&lt;&gt;External driver")=1,1,0))</f>
        <v>0</v>
      </c>
    </row>
    <row r="220" customFormat="false" ht="15" hidden="false" customHeight="false" outlineLevel="0" collapsed="false">
      <c r="B220" s="8" t="str">
        <f aca="false">IF(A220="","",IFERROR(INDEX(Evidence_Log!$B:$B,MATCH(A220,Evidence_Log!$A:$A,0)),"check ID"))</f>
        <v/>
      </c>
      <c r="I220" s="16" t="n">
        <f aca="false">IF(OR(A220="",C220="External driver"),0,IF(COUNTIFS(D$5:D220,D220,B$5:B220,B220,C$5:C220,"&lt;&gt;External driver")=1,1,0))</f>
        <v>0</v>
      </c>
    </row>
    <row r="221" customFormat="false" ht="15" hidden="false" customHeight="false" outlineLevel="0" collapsed="false">
      <c r="B221" s="8" t="str">
        <f aca="false">IF(A221="","",IFERROR(INDEX(Evidence_Log!$B:$B,MATCH(A221,Evidence_Log!$A:$A,0)),"check ID"))</f>
        <v/>
      </c>
      <c r="I221" s="16" t="n">
        <f aca="false">IF(OR(A221="",C221="External driver"),0,IF(COUNTIFS(D$5:D221,D221,B$5:B221,B221,C$5:C221,"&lt;&gt;External driver")=1,1,0))</f>
        <v>0</v>
      </c>
    </row>
    <row r="222" customFormat="false" ht="15" hidden="false" customHeight="false" outlineLevel="0" collapsed="false">
      <c r="B222" s="8" t="str">
        <f aca="false">IF(A222="","",IFERROR(INDEX(Evidence_Log!$B:$B,MATCH(A222,Evidence_Log!$A:$A,0)),"check ID"))</f>
        <v/>
      </c>
      <c r="I222" s="16" t="n">
        <f aca="false">IF(OR(A222="",C222="External driver"),0,IF(COUNTIFS(D$5:D222,D222,B$5:B222,B222,C$5:C222,"&lt;&gt;External driver")=1,1,0))</f>
        <v>0</v>
      </c>
    </row>
    <row r="223" customFormat="false" ht="15" hidden="false" customHeight="false" outlineLevel="0" collapsed="false">
      <c r="B223" s="8" t="str">
        <f aca="false">IF(A223="","",IFERROR(INDEX(Evidence_Log!$B:$B,MATCH(A223,Evidence_Log!$A:$A,0)),"check ID"))</f>
        <v/>
      </c>
      <c r="I223" s="16" t="n">
        <f aca="false">IF(OR(A223="",C223="External driver"),0,IF(COUNTIFS(D$5:D223,D223,B$5:B223,B223,C$5:C223,"&lt;&gt;External driver")=1,1,0))</f>
        <v>0</v>
      </c>
    </row>
    <row r="224" customFormat="false" ht="15" hidden="false" customHeight="false" outlineLevel="0" collapsed="false">
      <c r="B224" s="8" t="str">
        <f aca="false">IF(A224="","",IFERROR(INDEX(Evidence_Log!$B:$B,MATCH(A224,Evidence_Log!$A:$A,0)),"check ID"))</f>
        <v/>
      </c>
      <c r="I224" s="16" t="n">
        <f aca="false">IF(OR(A224="",C224="External driver"),0,IF(COUNTIFS(D$5:D224,D224,B$5:B224,B224,C$5:C224,"&lt;&gt;External driver")=1,1,0))</f>
        <v>0</v>
      </c>
    </row>
    <row r="225" customFormat="false" ht="15" hidden="false" customHeight="false" outlineLevel="0" collapsed="false">
      <c r="B225" s="8" t="str">
        <f aca="false">IF(A225="","",IFERROR(INDEX(Evidence_Log!$B:$B,MATCH(A225,Evidence_Log!$A:$A,0)),"check ID"))</f>
        <v/>
      </c>
      <c r="I225" s="16" t="n">
        <f aca="false">IF(OR(A225="",C225="External driver"),0,IF(COUNTIFS(D$5:D225,D225,B$5:B225,B225,C$5:C225,"&lt;&gt;External driver")=1,1,0))</f>
        <v>0</v>
      </c>
    </row>
    <row r="226" customFormat="false" ht="15" hidden="false" customHeight="false" outlineLevel="0" collapsed="false">
      <c r="B226" s="8" t="str">
        <f aca="false">IF(A226="","",IFERROR(INDEX(Evidence_Log!$B:$B,MATCH(A226,Evidence_Log!$A:$A,0)),"check ID"))</f>
        <v/>
      </c>
      <c r="I226" s="16" t="n">
        <f aca="false">IF(OR(A226="",C226="External driver"),0,IF(COUNTIFS(D$5:D226,D226,B$5:B226,B226,C$5:C226,"&lt;&gt;External driver")=1,1,0))</f>
        <v>0</v>
      </c>
    </row>
    <row r="227" customFormat="false" ht="15" hidden="false" customHeight="false" outlineLevel="0" collapsed="false">
      <c r="B227" s="8" t="str">
        <f aca="false">IF(A227="","",IFERROR(INDEX(Evidence_Log!$B:$B,MATCH(A227,Evidence_Log!$A:$A,0)),"check ID"))</f>
        <v/>
      </c>
      <c r="I227" s="16" t="n">
        <f aca="false">IF(OR(A227="",C227="External driver"),0,IF(COUNTIFS(D$5:D227,D227,B$5:B227,B227,C$5:C227,"&lt;&gt;External driver")=1,1,0))</f>
        <v>0</v>
      </c>
    </row>
    <row r="228" customFormat="false" ht="15" hidden="false" customHeight="false" outlineLevel="0" collapsed="false">
      <c r="B228" s="8" t="str">
        <f aca="false">IF(A228="","",IFERROR(INDEX(Evidence_Log!$B:$B,MATCH(A228,Evidence_Log!$A:$A,0)),"check ID"))</f>
        <v/>
      </c>
      <c r="I228" s="16" t="n">
        <f aca="false">IF(OR(A228="",C228="External driver"),0,IF(COUNTIFS(D$5:D228,D228,B$5:B228,B228,C$5:C228,"&lt;&gt;External driver")=1,1,0))</f>
        <v>0</v>
      </c>
    </row>
    <row r="229" customFormat="false" ht="15" hidden="false" customHeight="false" outlineLevel="0" collapsed="false">
      <c r="B229" s="8" t="str">
        <f aca="false">IF(A229="","",IFERROR(INDEX(Evidence_Log!$B:$B,MATCH(A229,Evidence_Log!$A:$A,0)),"check ID"))</f>
        <v/>
      </c>
      <c r="I229" s="16" t="n">
        <f aca="false">IF(OR(A229="",C229="External driver"),0,IF(COUNTIFS(D$5:D229,D229,B$5:B229,B229,C$5:C229,"&lt;&gt;External driver")=1,1,0))</f>
        <v>0</v>
      </c>
    </row>
    <row r="230" customFormat="false" ht="15" hidden="false" customHeight="false" outlineLevel="0" collapsed="false">
      <c r="B230" s="8" t="str">
        <f aca="false">IF(A230="","",IFERROR(INDEX(Evidence_Log!$B:$B,MATCH(A230,Evidence_Log!$A:$A,0)),"check ID"))</f>
        <v/>
      </c>
      <c r="I230" s="16" t="n">
        <f aca="false">IF(OR(A230="",C230="External driver"),0,IF(COUNTIFS(D$5:D230,D230,B$5:B230,B230,C$5:C230,"&lt;&gt;External driver")=1,1,0))</f>
        <v>0</v>
      </c>
    </row>
    <row r="231" customFormat="false" ht="15" hidden="false" customHeight="false" outlineLevel="0" collapsed="false">
      <c r="B231" s="8" t="str">
        <f aca="false">IF(A231="","",IFERROR(INDEX(Evidence_Log!$B:$B,MATCH(A231,Evidence_Log!$A:$A,0)),"check ID"))</f>
        <v/>
      </c>
      <c r="I231" s="16" t="n">
        <f aca="false">IF(OR(A231="",C231="External driver"),0,IF(COUNTIFS(D$5:D231,D231,B$5:B231,B231,C$5:C231,"&lt;&gt;External driver")=1,1,0))</f>
        <v>0</v>
      </c>
    </row>
    <row r="232" customFormat="false" ht="15" hidden="false" customHeight="false" outlineLevel="0" collapsed="false">
      <c r="B232" s="8" t="str">
        <f aca="false">IF(A232="","",IFERROR(INDEX(Evidence_Log!$B:$B,MATCH(A232,Evidence_Log!$A:$A,0)),"check ID"))</f>
        <v/>
      </c>
      <c r="I232" s="16" t="n">
        <f aca="false">IF(OR(A232="",C232="External driver"),0,IF(COUNTIFS(D$5:D232,D232,B$5:B232,B232,C$5:C232,"&lt;&gt;External driver")=1,1,0))</f>
        <v>0</v>
      </c>
    </row>
    <row r="233" customFormat="false" ht="15" hidden="false" customHeight="false" outlineLevel="0" collapsed="false">
      <c r="B233" s="8" t="str">
        <f aca="false">IF(A233="","",IFERROR(INDEX(Evidence_Log!$B:$B,MATCH(A233,Evidence_Log!$A:$A,0)),"check ID"))</f>
        <v/>
      </c>
      <c r="I233" s="16" t="n">
        <f aca="false">IF(OR(A233="",C233="External driver"),0,IF(COUNTIFS(D$5:D233,D233,B$5:B233,B233,C$5:C233,"&lt;&gt;External driver")=1,1,0))</f>
        <v>0</v>
      </c>
    </row>
    <row r="234" customFormat="false" ht="15" hidden="false" customHeight="false" outlineLevel="0" collapsed="false">
      <c r="B234" s="8" t="str">
        <f aca="false">IF(A234="","",IFERROR(INDEX(Evidence_Log!$B:$B,MATCH(A234,Evidence_Log!$A:$A,0)),"check ID"))</f>
        <v/>
      </c>
      <c r="I234" s="16" t="n">
        <f aca="false">IF(OR(A234="",C234="External driver"),0,IF(COUNTIFS(D$5:D234,D234,B$5:B234,B234,C$5:C234,"&lt;&gt;External driver")=1,1,0))</f>
        <v>0</v>
      </c>
    </row>
    <row r="235" customFormat="false" ht="15" hidden="false" customHeight="false" outlineLevel="0" collapsed="false">
      <c r="B235" s="8" t="str">
        <f aca="false">IF(A235="","",IFERROR(INDEX(Evidence_Log!$B:$B,MATCH(A235,Evidence_Log!$A:$A,0)),"check ID"))</f>
        <v/>
      </c>
      <c r="I235" s="16" t="n">
        <f aca="false">IF(OR(A235="",C235="External driver"),0,IF(COUNTIFS(D$5:D235,D235,B$5:B235,B235,C$5:C235,"&lt;&gt;External driver")=1,1,0))</f>
        <v>0</v>
      </c>
    </row>
    <row r="236" customFormat="false" ht="15" hidden="false" customHeight="false" outlineLevel="0" collapsed="false">
      <c r="B236" s="8" t="str">
        <f aca="false">IF(A236="","",IFERROR(INDEX(Evidence_Log!$B:$B,MATCH(A236,Evidence_Log!$A:$A,0)),"check ID"))</f>
        <v/>
      </c>
      <c r="I236" s="16" t="n">
        <f aca="false">IF(OR(A236="",C236="External driver"),0,IF(COUNTIFS(D$5:D236,D236,B$5:B236,B236,C$5:C236,"&lt;&gt;External driver")=1,1,0))</f>
        <v>0</v>
      </c>
    </row>
    <row r="237" customFormat="false" ht="15" hidden="false" customHeight="false" outlineLevel="0" collapsed="false">
      <c r="B237" s="8" t="str">
        <f aca="false">IF(A237="","",IFERROR(INDEX(Evidence_Log!$B:$B,MATCH(A237,Evidence_Log!$A:$A,0)),"check ID"))</f>
        <v/>
      </c>
      <c r="I237" s="16" t="n">
        <f aca="false">IF(OR(A237="",C237="External driver"),0,IF(COUNTIFS(D$5:D237,D237,B$5:B237,B237,C$5:C237,"&lt;&gt;External driver")=1,1,0))</f>
        <v>0</v>
      </c>
    </row>
    <row r="238" customFormat="false" ht="15" hidden="false" customHeight="false" outlineLevel="0" collapsed="false">
      <c r="B238" s="8" t="str">
        <f aca="false">IF(A238="","",IFERROR(INDEX(Evidence_Log!$B:$B,MATCH(A238,Evidence_Log!$A:$A,0)),"check ID"))</f>
        <v/>
      </c>
      <c r="I238" s="16" t="n">
        <f aca="false">IF(OR(A238="",C238="External driver"),0,IF(COUNTIFS(D$5:D238,D238,B$5:B238,B238,C$5:C238,"&lt;&gt;External driver")=1,1,0))</f>
        <v>0</v>
      </c>
    </row>
    <row r="239" customFormat="false" ht="15" hidden="false" customHeight="false" outlineLevel="0" collapsed="false">
      <c r="B239" s="8" t="str">
        <f aca="false">IF(A239="","",IFERROR(INDEX(Evidence_Log!$B:$B,MATCH(A239,Evidence_Log!$A:$A,0)),"check ID"))</f>
        <v/>
      </c>
      <c r="I239" s="16" t="n">
        <f aca="false">IF(OR(A239="",C239="External driver"),0,IF(COUNTIFS(D$5:D239,D239,B$5:B239,B239,C$5:C239,"&lt;&gt;External driver")=1,1,0))</f>
        <v>0</v>
      </c>
    </row>
    <row r="240" customFormat="false" ht="15" hidden="false" customHeight="false" outlineLevel="0" collapsed="false">
      <c r="B240" s="8" t="str">
        <f aca="false">IF(A240="","",IFERROR(INDEX(Evidence_Log!$B:$B,MATCH(A240,Evidence_Log!$A:$A,0)),"check ID"))</f>
        <v/>
      </c>
      <c r="I240" s="16" t="n">
        <f aca="false">IF(OR(A240="",C240="External driver"),0,IF(COUNTIFS(D$5:D240,D240,B$5:B240,B240,C$5:C240,"&lt;&gt;External driver")=1,1,0))</f>
        <v>0</v>
      </c>
    </row>
    <row r="241" customFormat="false" ht="15" hidden="false" customHeight="false" outlineLevel="0" collapsed="false">
      <c r="B241" s="8" t="str">
        <f aca="false">IF(A241="","",IFERROR(INDEX(Evidence_Log!$B:$B,MATCH(A241,Evidence_Log!$A:$A,0)),"check ID"))</f>
        <v/>
      </c>
      <c r="I241" s="16" t="n">
        <f aca="false">IF(OR(A241="",C241="External driver"),0,IF(COUNTIFS(D$5:D241,D241,B$5:B241,B241,C$5:C241,"&lt;&gt;External driver")=1,1,0))</f>
        <v>0</v>
      </c>
    </row>
    <row r="242" customFormat="false" ht="15" hidden="false" customHeight="false" outlineLevel="0" collapsed="false">
      <c r="B242" s="8" t="str">
        <f aca="false">IF(A242="","",IFERROR(INDEX(Evidence_Log!$B:$B,MATCH(A242,Evidence_Log!$A:$A,0)),"check ID"))</f>
        <v/>
      </c>
      <c r="I242" s="16" t="n">
        <f aca="false">IF(OR(A242="",C242="External driver"),0,IF(COUNTIFS(D$5:D242,D242,B$5:B242,B242,C$5:C242,"&lt;&gt;External driver")=1,1,0))</f>
        <v>0</v>
      </c>
    </row>
    <row r="243" customFormat="false" ht="15" hidden="false" customHeight="false" outlineLevel="0" collapsed="false">
      <c r="B243" s="8" t="str">
        <f aca="false">IF(A243="","",IFERROR(INDEX(Evidence_Log!$B:$B,MATCH(A243,Evidence_Log!$A:$A,0)),"check ID"))</f>
        <v/>
      </c>
      <c r="I243" s="16" t="n">
        <f aca="false">IF(OR(A243="",C243="External driver"),0,IF(COUNTIFS(D$5:D243,D243,B$5:B243,B243,C$5:C243,"&lt;&gt;External driver")=1,1,0))</f>
        <v>0</v>
      </c>
    </row>
    <row r="244" customFormat="false" ht="15" hidden="false" customHeight="false" outlineLevel="0" collapsed="false">
      <c r="B244" s="8" t="str">
        <f aca="false">IF(A244="","",IFERROR(INDEX(Evidence_Log!$B:$B,MATCH(A244,Evidence_Log!$A:$A,0)),"check ID"))</f>
        <v/>
      </c>
      <c r="I244" s="16" t="n">
        <f aca="false">IF(OR(A244="",C244="External driver"),0,IF(COUNTIFS(D$5:D244,D244,B$5:B244,B244,C$5:C244,"&lt;&gt;External driver")=1,1,0))</f>
        <v>0</v>
      </c>
    </row>
    <row r="245" customFormat="false" ht="15" hidden="false" customHeight="false" outlineLevel="0" collapsed="false">
      <c r="B245" s="8" t="str">
        <f aca="false">IF(A245="","",IFERROR(INDEX(Evidence_Log!$B:$B,MATCH(A245,Evidence_Log!$A:$A,0)),"check ID"))</f>
        <v/>
      </c>
      <c r="I245" s="16" t="n">
        <f aca="false">IF(OR(A245="",C245="External driver"),0,IF(COUNTIFS(D$5:D245,D245,B$5:B245,B245,C$5:C245,"&lt;&gt;External driver")=1,1,0))</f>
        <v>0</v>
      </c>
    </row>
    <row r="246" customFormat="false" ht="15" hidden="false" customHeight="false" outlineLevel="0" collapsed="false">
      <c r="B246" s="8" t="str">
        <f aca="false">IF(A246="","",IFERROR(INDEX(Evidence_Log!$B:$B,MATCH(A246,Evidence_Log!$A:$A,0)),"check ID"))</f>
        <v/>
      </c>
      <c r="I246" s="16" t="n">
        <f aca="false">IF(OR(A246="",C246="External driver"),0,IF(COUNTIFS(D$5:D246,D246,B$5:B246,B246,C$5:C246,"&lt;&gt;External driver")=1,1,0))</f>
        <v>0</v>
      </c>
    </row>
    <row r="247" customFormat="false" ht="15" hidden="false" customHeight="false" outlineLevel="0" collapsed="false">
      <c r="B247" s="8" t="str">
        <f aca="false">IF(A247="","",IFERROR(INDEX(Evidence_Log!$B:$B,MATCH(A247,Evidence_Log!$A:$A,0)),"check ID"))</f>
        <v/>
      </c>
      <c r="I247" s="16" t="n">
        <f aca="false">IF(OR(A247="",C247="External driver"),0,IF(COUNTIFS(D$5:D247,D247,B$5:B247,B247,C$5:C247,"&lt;&gt;External driver")=1,1,0))</f>
        <v>0</v>
      </c>
    </row>
    <row r="248" customFormat="false" ht="15" hidden="false" customHeight="false" outlineLevel="0" collapsed="false">
      <c r="B248" s="8" t="str">
        <f aca="false">IF(A248="","",IFERROR(INDEX(Evidence_Log!$B:$B,MATCH(A248,Evidence_Log!$A:$A,0)),"check ID"))</f>
        <v/>
      </c>
      <c r="I248" s="16" t="n">
        <f aca="false">IF(OR(A248="",C248="External driver"),0,IF(COUNTIFS(D$5:D248,D248,B$5:B248,B248,C$5:C248,"&lt;&gt;External driver")=1,1,0))</f>
        <v>0</v>
      </c>
    </row>
    <row r="249" customFormat="false" ht="15" hidden="false" customHeight="false" outlineLevel="0" collapsed="false">
      <c r="B249" s="8" t="str">
        <f aca="false">IF(A249="","",IFERROR(INDEX(Evidence_Log!$B:$B,MATCH(A249,Evidence_Log!$A:$A,0)),"check ID"))</f>
        <v/>
      </c>
      <c r="I249" s="16" t="n">
        <f aca="false">IF(OR(A249="",C249="External driver"),0,IF(COUNTIFS(D$5:D249,D249,B$5:B249,B249,C$5:C249,"&lt;&gt;External driver")=1,1,0))</f>
        <v>0</v>
      </c>
    </row>
    <row r="250" customFormat="false" ht="15" hidden="false" customHeight="false" outlineLevel="0" collapsed="false">
      <c r="B250" s="8" t="str">
        <f aca="false">IF(A250="","",IFERROR(INDEX(Evidence_Log!$B:$B,MATCH(A250,Evidence_Log!$A:$A,0)),"check ID"))</f>
        <v/>
      </c>
      <c r="I250" s="16" t="n">
        <f aca="false">IF(OR(A250="",C250="External driver"),0,IF(COUNTIFS(D$5:D250,D250,B$5:B250,B250,C$5:C250,"&lt;&gt;External driver")=1,1,0))</f>
        <v>0</v>
      </c>
    </row>
    <row r="251" customFormat="false" ht="15" hidden="false" customHeight="false" outlineLevel="0" collapsed="false">
      <c r="B251" s="8" t="str">
        <f aca="false">IF(A251="","",IFERROR(INDEX(Evidence_Log!$B:$B,MATCH(A251,Evidence_Log!$A:$A,0)),"check ID"))</f>
        <v/>
      </c>
      <c r="I251" s="16" t="n">
        <f aca="false">IF(OR(A251="",C251="External driver"),0,IF(COUNTIFS(D$5:D251,D251,B$5:B251,B251,C$5:C251,"&lt;&gt;External driver")=1,1,0))</f>
        <v>0</v>
      </c>
    </row>
    <row r="252" customFormat="false" ht="15" hidden="false" customHeight="false" outlineLevel="0" collapsed="false">
      <c r="B252" s="8" t="str">
        <f aca="false">IF(A252="","",IFERROR(INDEX(Evidence_Log!$B:$B,MATCH(A252,Evidence_Log!$A:$A,0)),"check ID"))</f>
        <v/>
      </c>
      <c r="I252" s="16" t="n">
        <f aca="false">IF(OR(A252="",C252="External driver"),0,IF(COUNTIFS(D$5:D252,D252,B$5:B252,B252,C$5:C252,"&lt;&gt;External driver")=1,1,0))</f>
        <v>0</v>
      </c>
    </row>
    <row r="253" customFormat="false" ht="15" hidden="false" customHeight="false" outlineLevel="0" collapsed="false">
      <c r="B253" s="8" t="str">
        <f aca="false">IF(A253="","",IFERROR(INDEX(Evidence_Log!$B:$B,MATCH(A253,Evidence_Log!$A:$A,0)),"check ID"))</f>
        <v/>
      </c>
      <c r="I253" s="16" t="n">
        <f aca="false">IF(OR(A253="",C253="External driver"),0,IF(COUNTIFS(D$5:D253,D253,B$5:B253,B253,C$5:C253,"&lt;&gt;External driver")=1,1,0))</f>
        <v>0</v>
      </c>
    </row>
    <row r="254" customFormat="false" ht="15" hidden="false" customHeight="false" outlineLevel="0" collapsed="false">
      <c r="B254" s="8" t="str">
        <f aca="false">IF(A254="","",IFERROR(INDEX(Evidence_Log!$B:$B,MATCH(A254,Evidence_Log!$A:$A,0)),"check ID"))</f>
        <v/>
      </c>
      <c r="I254" s="16" t="n">
        <f aca="false">IF(OR(A254="",C254="External driver"),0,IF(COUNTIFS(D$5:D254,D254,B$5:B254,B254,C$5:C254,"&lt;&gt;External driver")=1,1,0))</f>
        <v>0</v>
      </c>
    </row>
    <row r="255" customFormat="false" ht="15" hidden="false" customHeight="false" outlineLevel="0" collapsed="false">
      <c r="B255" s="8" t="str">
        <f aca="false">IF(A255="","",IFERROR(INDEX(Evidence_Log!$B:$B,MATCH(A255,Evidence_Log!$A:$A,0)),"check ID"))</f>
        <v/>
      </c>
      <c r="I255" s="16" t="n">
        <f aca="false">IF(OR(A255="",C255="External driver"),0,IF(COUNTIFS(D$5:D255,D255,B$5:B255,B255,C$5:C255,"&lt;&gt;External driver")=1,1,0))</f>
        <v>0</v>
      </c>
    </row>
    <row r="256" customFormat="false" ht="15" hidden="false" customHeight="false" outlineLevel="0" collapsed="false">
      <c r="B256" s="8" t="str">
        <f aca="false">IF(A256="","",IFERROR(INDEX(Evidence_Log!$B:$B,MATCH(A256,Evidence_Log!$A:$A,0)),"check ID"))</f>
        <v/>
      </c>
      <c r="I256" s="16" t="n">
        <f aca="false">IF(OR(A256="",C256="External driver"),0,IF(COUNTIFS(D$5:D256,D256,B$5:B256,B256,C$5:C256,"&lt;&gt;External driver")=1,1,0))</f>
        <v>0</v>
      </c>
    </row>
    <row r="257" customFormat="false" ht="15" hidden="false" customHeight="false" outlineLevel="0" collapsed="false">
      <c r="B257" s="8" t="str">
        <f aca="false">IF(A257="","",IFERROR(INDEX(Evidence_Log!$B:$B,MATCH(A257,Evidence_Log!$A:$A,0)),"check ID"))</f>
        <v/>
      </c>
      <c r="I257" s="16" t="n">
        <f aca="false">IF(OR(A257="",C257="External driver"),0,IF(COUNTIFS(D$5:D257,D257,B$5:B257,B257,C$5:C257,"&lt;&gt;External driver")=1,1,0))</f>
        <v>0</v>
      </c>
    </row>
    <row r="258" customFormat="false" ht="15" hidden="false" customHeight="false" outlineLevel="0" collapsed="false">
      <c r="B258" s="8" t="str">
        <f aca="false">IF(A258="","",IFERROR(INDEX(Evidence_Log!$B:$B,MATCH(A258,Evidence_Log!$A:$A,0)),"check ID"))</f>
        <v/>
      </c>
      <c r="I258" s="16" t="n">
        <f aca="false">IF(OR(A258="",C258="External driver"),0,IF(COUNTIFS(D$5:D258,D258,B$5:B258,B258,C$5:C258,"&lt;&gt;External driver")=1,1,0))</f>
        <v>0</v>
      </c>
    </row>
    <row r="259" customFormat="false" ht="15" hidden="false" customHeight="false" outlineLevel="0" collapsed="false">
      <c r="B259" s="8" t="str">
        <f aca="false">IF(A259="","",IFERROR(INDEX(Evidence_Log!$B:$B,MATCH(A259,Evidence_Log!$A:$A,0)),"check ID"))</f>
        <v/>
      </c>
      <c r="I259" s="16" t="n">
        <f aca="false">IF(OR(A259="",C259="External driver"),0,IF(COUNTIFS(D$5:D259,D259,B$5:B259,B259,C$5:C259,"&lt;&gt;External driver")=1,1,0))</f>
        <v>0</v>
      </c>
    </row>
    <row r="260" customFormat="false" ht="15" hidden="false" customHeight="false" outlineLevel="0" collapsed="false">
      <c r="B260" s="8" t="str">
        <f aca="false">IF(A260="","",IFERROR(INDEX(Evidence_Log!$B:$B,MATCH(A260,Evidence_Log!$A:$A,0)),"check ID"))</f>
        <v/>
      </c>
      <c r="I260" s="16" t="n">
        <f aca="false">IF(OR(A260="",C260="External driver"),0,IF(COUNTIFS(D$5:D260,D260,B$5:B260,B260,C$5:C260,"&lt;&gt;External driver")=1,1,0))</f>
        <v>0</v>
      </c>
    </row>
    <row r="261" customFormat="false" ht="15" hidden="false" customHeight="false" outlineLevel="0" collapsed="false">
      <c r="B261" s="8" t="str">
        <f aca="false">IF(A261="","",IFERROR(INDEX(Evidence_Log!$B:$B,MATCH(A261,Evidence_Log!$A:$A,0)),"check ID"))</f>
        <v/>
      </c>
      <c r="I261" s="16" t="n">
        <f aca="false">IF(OR(A261="",C261="External driver"),0,IF(COUNTIFS(D$5:D261,D261,B$5:B261,B261,C$5:C261,"&lt;&gt;External driver")=1,1,0))</f>
        <v>0</v>
      </c>
    </row>
    <row r="262" customFormat="false" ht="15" hidden="false" customHeight="false" outlineLevel="0" collapsed="false">
      <c r="B262" s="8" t="str">
        <f aca="false">IF(A262="","",IFERROR(INDEX(Evidence_Log!$B:$B,MATCH(A262,Evidence_Log!$A:$A,0)),"check ID"))</f>
        <v/>
      </c>
      <c r="I262" s="16" t="n">
        <f aca="false">IF(OR(A262="",C262="External driver"),0,IF(COUNTIFS(D$5:D262,D262,B$5:B262,B262,C$5:C262,"&lt;&gt;External driver")=1,1,0))</f>
        <v>0</v>
      </c>
    </row>
    <row r="263" customFormat="false" ht="15" hidden="false" customHeight="false" outlineLevel="0" collapsed="false">
      <c r="B263" s="8" t="str">
        <f aca="false">IF(A263="","",IFERROR(INDEX(Evidence_Log!$B:$B,MATCH(A263,Evidence_Log!$A:$A,0)),"check ID"))</f>
        <v/>
      </c>
      <c r="I263" s="16" t="n">
        <f aca="false">IF(OR(A263="",C263="External driver"),0,IF(COUNTIFS(D$5:D263,D263,B$5:B263,B263,C$5:C263,"&lt;&gt;External driver")=1,1,0))</f>
        <v>0</v>
      </c>
    </row>
    <row r="264" customFormat="false" ht="15" hidden="false" customHeight="false" outlineLevel="0" collapsed="false">
      <c r="B264" s="8" t="str">
        <f aca="false">IF(A264="","",IFERROR(INDEX(Evidence_Log!$B:$B,MATCH(A264,Evidence_Log!$A:$A,0)),"check ID"))</f>
        <v/>
      </c>
      <c r="I264" s="16" t="n">
        <f aca="false">IF(OR(A264="",C264="External driver"),0,IF(COUNTIFS(D$5:D264,D264,B$5:B264,B264,C$5:C264,"&lt;&gt;External driver")=1,1,0))</f>
        <v>0</v>
      </c>
    </row>
    <row r="265" customFormat="false" ht="15" hidden="false" customHeight="false" outlineLevel="0" collapsed="false">
      <c r="B265" s="8" t="str">
        <f aca="false">IF(A265="","",IFERROR(INDEX(Evidence_Log!$B:$B,MATCH(A265,Evidence_Log!$A:$A,0)),"check ID"))</f>
        <v/>
      </c>
      <c r="I265" s="16" t="n">
        <f aca="false">IF(OR(A265="",C265="External driver"),0,IF(COUNTIFS(D$5:D265,D265,B$5:B265,B265,C$5:C265,"&lt;&gt;External driver")=1,1,0))</f>
        <v>0</v>
      </c>
    </row>
    <row r="266" customFormat="false" ht="15" hidden="false" customHeight="false" outlineLevel="0" collapsed="false">
      <c r="B266" s="8" t="str">
        <f aca="false">IF(A266="","",IFERROR(INDEX(Evidence_Log!$B:$B,MATCH(A266,Evidence_Log!$A:$A,0)),"check ID"))</f>
        <v/>
      </c>
      <c r="I266" s="16" t="n">
        <f aca="false">IF(OR(A266="",C266="External driver"),0,IF(COUNTIFS(D$5:D266,D266,B$5:B266,B266,C$5:C266,"&lt;&gt;External driver")=1,1,0))</f>
        <v>0</v>
      </c>
    </row>
    <row r="267" customFormat="false" ht="15" hidden="false" customHeight="false" outlineLevel="0" collapsed="false">
      <c r="B267" s="8" t="str">
        <f aca="false">IF(A267="","",IFERROR(INDEX(Evidence_Log!$B:$B,MATCH(A267,Evidence_Log!$A:$A,0)),"check ID"))</f>
        <v/>
      </c>
      <c r="I267" s="16" t="n">
        <f aca="false">IF(OR(A267="",C267="External driver"),0,IF(COUNTIFS(D$5:D267,D267,B$5:B267,B267,C$5:C267,"&lt;&gt;External driver")=1,1,0))</f>
        <v>0</v>
      </c>
    </row>
    <row r="268" customFormat="false" ht="15" hidden="false" customHeight="false" outlineLevel="0" collapsed="false">
      <c r="B268" s="8" t="str">
        <f aca="false">IF(A268="","",IFERROR(INDEX(Evidence_Log!$B:$B,MATCH(A268,Evidence_Log!$A:$A,0)),"check ID"))</f>
        <v/>
      </c>
      <c r="I268" s="16" t="n">
        <f aca="false">IF(OR(A268="",C268="External driver"),0,IF(COUNTIFS(D$5:D268,D268,B$5:B268,B268,C$5:C268,"&lt;&gt;External driver")=1,1,0))</f>
        <v>0</v>
      </c>
    </row>
    <row r="269" customFormat="false" ht="15" hidden="false" customHeight="false" outlineLevel="0" collapsed="false">
      <c r="B269" s="8" t="str">
        <f aca="false">IF(A269="","",IFERROR(INDEX(Evidence_Log!$B:$B,MATCH(A269,Evidence_Log!$A:$A,0)),"check ID"))</f>
        <v/>
      </c>
      <c r="I269" s="16" t="n">
        <f aca="false">IF(OR(A269="",C269="External driver"),0,IF(COUNTIFS(D$5:D269,D269,B$5:B269,B269,C$5:C269,"&lt;&gt;External driver")=1,1,0))</f>
        <v>0</v>
      </c>
    </row>
    <row r="270" customFormat="false" ht="15" hidden="false" customHeight="false" outlineLevel="0" collapsed="false">
      <c r="B270" s="8" t="str">
        <f aca="false">IF(A270="","",IFERROR(INDEX(Evidence_Log!$B:$B,MATCH(A270,Evidence_Log!$A:$A,0)),"check ID"))</f>
        <v/>
      </c>
      <c r="I270" s="16" t="n">
        <f aca="false">IF(OR(A270="",C270="External driver"),0,IF(COUNTIFS(D$5:D270,D270,B$5:B270,B270,C$5:C270,"&lt;&gt;External driver")=1,1,0))</f>
        <v>0</v>
      </c>
    </row>
    <row r="271" customFormat="false" ht="15" hidden="false" customHeight="false" outlineLevel="0" collapsed="false">
      <c r="B271" s="8" t="str">
        <f aca="false">IF(A271="","",IFERROR(INDEX(Evidence_Log!$B:$B,MATCH(A271,Evidence_Log!$A:$A,0)),"check ID"))</f>
        <v/>
      </c>
      <c r="I271" s="16" t="n">
        <f aca="false">IF(OR(A271="",C271="External driver"),0,IF(COUNTIFS(D$5:D271,D271,B$5:B271,B271,C$5:C271,"&lt;&gt;External driver")=1,1,0))</f>
        <v>0</v>
      </c>
    </row>
    <row r="272" customFormat="false" ht="15" hidden="false" customHeight="false" outlineLevel="0" collapsed="false">
      <c r="B272" s="8" t="str">
        <f aca="false">IF(A272="","",IFERROR(INDEX(Evidence_Log!$B:$B,MATCH(A272,Evidence_Log!$A:$A,0)),"check ID"))</f>
        <v/>
      </c>
      <c r="I272" s="16" t="n">
        <f aca="false">IF(OR(A272="",C272="External driver"),0,IF(COUNTIFS(D$5:D272,D272,B$5:B272,B272,C$5:C272,"&lt;&gt;External driver")=1,1,0))</f>
        <v>0</v>
      </c>
    </row>
    <row r="273" customFormat="false" ht="15" hidden="false" customHeight="false" outlineLevel="0" collapsed="false">
      <c r="B273" s="8" t="str">
        <f aca="false">IF(A273="","",IFERROR(INDEX(Evidence_Log!$B:$B,MATCH(A273,Evidence_Log!$A:$A,0)),"check ID"))</f>
        <v/>
      </c>
      <c r="I273" s="16" t="n">
        <f aca="false">IF(OR(A273="",C273="External driver"),0,IF(COUNTIFS(D$5:D273,D273,B$5:B273,B273,C$5:C273,"&lt;&gt;External driver")=1,1,0))</f>
        <v>0</v>
      </c>
    </row>
    <row r="274" customFormat="false" ht="15" hidden="false" customHeight="false" outlineLevel="0" collapsed="false">
      <c r="B274" s="8" t="str">
        <f aca="false">IF(A274="","",IFERROR(INDEX(Evidence_Log!$B:$B,MATCH(A274,Evidence_Log!$A:$A,0)),"check ID"))</f>
        <v/>
      </c>
      <c r="I274" s="16" t="n">
        <f aca="false">IF(OR(A274="",C274="External driver"),0,IF(COUNTIFS(D$5:D274,D274,B$5:B274,B274,C$5:C274,"&lt;&gt;External driver")=1,1,0))</f>
        <v>0</v>
      </c>
    </row>
    <row r="275" customFormat="false" ht="15" hidden="false" customHeight="false" outlineLevel="0" collapsed="false">
      <c r="B275" s="8" t="str">
        <f aca="false">IF(A275="","",IFERROR(INDEX(Evidence_Log!$B:$B,MATCH(A275,Evidence_Log!$A:$A,0)),"check ID"))</f>
        <v/>
      </c>
      <c r="I275" s="16" t="n">
        <f aca="false">IF(OR(A275="",C275="External driver"),0,IF(COUNTIFS(D$5:D275,D275,B$5:B275,B275,C$5:C275,"&lt;&gt;External driver")=1,1,0))</f>
        <v>0</v>
      </c>
    </row>
    <row r="276" customFormat="false" ht="15" hidden="false" customHeight="false" outlineLevel="0" collapsed="false">
      <c r="B276" s="8" t="str">
        <f aca="false">IF(A276="","",IFERROR(INDEX(Evidence_Log!$B:$B,MATCH(A276,Evidence_Log!$A:$A,0)),"check ID"))</f>
        <v/>
      </c>
      <c r="I276" s="16" t="n">
        <f aca="false">IF(OR(A276="",C276="External driver"),0,IF(COUNTIFS(D$5:D276,D276,B$5:B276,B276,C$5:C276,"&lt;&gt;External driver")=1,1,0))</f>
        <v>0</v>
      </c>
    </row>
    <row r="277" customFormat="false" ht="15" hidden="false" customHeight="false" outlineLevel="0" collapsed="false">
      <c r="B277" s="8" t="str">
        <f aca="false">IF(A277="","",IFERROR(INDEX(Evidence_Log!$B:$B,MATCH(A277,Evidence_Log!$A:$A,0)),"check ID"))</f>
        <v/>
      </c>
      <c r="I277" s="16" t="n">
        <f aca="false">IF(OR(A277="",C277="External driver"),0,IF(COUNTIFS(D$5:D277,D277,B$5:B277,B277,C$5:C277,"&lt;&gt;External driver")=1,1,0))</f>
        <v>0</v>
      </c>
    </row>
    <row r="278" customFormat="false" ht="15" hidden="false" customHeight="false" outlineLevel="0" collapsed="false">
      <c r="B278" s="8" t="str">
        <f aca="false">IF(A278="","",IFERROR(INDEX(Evidence_Log!$B:$B,MATCH(A278,Evidence_Log!$A:$A,0)),"check ID"))</f>
        <v/>
      </c>
      <c r="I278" s="16" t="n">
        <f aca="false">IF(OR(A278="",C278="External driver"),0,IF(COUNTIFS(D$5:D278,D278,B$5:B278,B278,C$5:C278,"&lt;&gt;External driver")=1,1,0))</f>
        <v>0</v>
      </c>
    </row>
    <row r="279" customFormat="false" ht="15" hidden="false" customHeight="false" outlineLevel="0" collapsed="false">
      <c r="B279" s="8" t="str">
        <f aca="false">IF(A279="","",IFERROR(INDEX(Evidence_Log!$B:$B,MATCH(A279,Evidence_Log!$A:$A,0)),"check ID"))</f>
        <v/>
      </c>
      <c r="I279" s="16" t="n">
        <f aca="false">IF(OR(A279="",C279="External driver"),0,IF(COUNTIFS(D$5:D279,D279,B$5:B279,B279,C$5:C279,"&lt;&gt;External driver")=1,1,0))</f>
        <v>0</v>
      </c>
    </row>
    <row r="280" customFormat="false" ht="15" hidden="false" customHeight="false" outlineLevel="0" collapsed="false">
      <c r="B280" s="8" t="str">
        <f aca="false">IF(A280="","",IFERROR(INDEX(Evidence_Log!$B:$B,MATCH(A280,Evidence_Log!$A:$A,0)),"check ID"))</f>
        <v/>
      </c>
      <c r="I280" s="16" t="n">
        <f aca="false">IF(OR(A280="",C280="External driver"),0,IF(COUNTIFS(D$5:D280,D280,B$5:B280,B280,C$5:C280,"&lt;&gt;External driver")=1,1,0))</f>
        <v>0</v>
      </c>
    </row>
    <row r="281" customFormat="false" ht="15" hidden="false" customHeight="false" outlineLevel="0" collapsed="false">
      <c r="B281" s="8" t="str">
        <f aca="false">IF(A281="","",IFERROR(INDEX(Evidence_Log!$B:$B,MATCH(A281,Evidence_Log!$A:$A,0)),"check ID"))</f>
        <v/>
      </c>
      <c r="I281" s="16" t="n">
        <f aca="false">IF(OR(A281="",C281="External driver"),0,IF(COUNTIFS(D$5:D281,D281,B$5:B281,B281,C$5:C281,"&lt;&gt;External driver")=1,1,0))</f>
        <v>0</v>
      </c>
    </row>
    <row r="282" customFormat="false" ht="15" hidden="false" customHeight="false" outlineLevel="0" collapsed="false">
      <c r="B282" s="8" t="str">
        <f aca="false">IF(A282="","",IFERROR(INDEX(Evidence_Log!$B:$B,MATCH(A282,Evidence_Log!$A:$A,0)),"check ID"))</f>
        <v/>
      </c>
      <c r="I282" s="16" t="n">
        <f aca="false">IF(OR(A282="",C282="External driver"),0,IF(COUNTIFS(D$5:D282,D282,B$5:B282,B282,C$5:C282,"&lt;&gt;External driver")=1,1,0))</f>
        <v>0</v>
      </c>
    </row>
    <row r="283" customFormat="false" ht="15" hidden="false" customHeight="false" outlineLevel="0" collapsed="false">
      <c r="B283" s="8" t="str">
        <f aca="false">IF(A283="","",IFERROR(INDEX(Evidence_Log!$B:$B,MATCH(A283,Evidence_Log!$A:$A,0)),"check ID"))</f>
        <v/>
      </c>
      <c r="I283" s="16" t="n">
        <f aca="false">IF(OR(A283="",C283="External driver"),0,IF(COUNTIFS(D$5:D283,D283,B$5:B283,B283,C$5:C283,"&lt;&gt;External driver")=1,1,0))</f>
        <v>0</v>
      </c>
    </row>
    <row r="284" customFormat="false" ht="15" hidden="false" customHeight="false" outlineLevel="0" collapsed="false">
      <c r="B284" s="8" t="str">
        <f aca="false">IF(A284="","",IFERROR(INDEX(Evidence_Log!$B:$B,MATCH(A284,Evidence_Log!$A:$A,0)),"check ID"))</f>
        <v/>
      </c>
      <c r="I284" s="16" t="n">
        <f aca="false">IF(OR(A284="",C284="External driver"),0,IF(COUNTIFS(D$5:D284,D284,B$5:B284,B284,C$5:C284,"&lt;&gt;External driver")=1,1,0))</f>
        <v>0</v>
      </c>
    </row>
    <row r="285" customFormat="false" ht="15" hidden="false" customHeight="false" outlineLevel="0" collapsed="false">
      <c r="B285" s="8" t="str">
        <f aca="false">IF(A285="","",IFERROR(INDEX(Evidence_Log!$B:$B,MATCH(A285,Evidence_Log!$A:$A,0)),"check ID"))</f>
        <v/>
      </c>
      <c r="I285" s="16" t="n">
        <f aca="false">IF(OR(A285="",C285="External driver"),0,IF(COUNTIFS(D$5:D285,D285,B$5:B285,B285,C$5:C285,"&lt;&gt;External driver")=1,1,0))</f>
        <v>0</v>
      </c>
    </row>
    <row r="286" customFormat="false" ht="15" hidden="false" customHeight="false" outlineLevel="0" collapsed="false">
      <c r="B286" s="8" t="str">
        <f aca="false">IF(A286="","",IFERROR(INDEX(Evidence_Log!$B:$B,MATCH(A286,Evidence_Log!$A:$A,0)),"check ID"))</f>
        <v/>
      </c>
      <c r="I286" s="16" t="n">
        <f aca="false">IF(OR(A286="",C286="External driver"),0,IF(COUNTIFS(D$5:D286,D286,B$5:B286,B286,C$5:C286,"&lt;&gt;External driver")=1,1,0))</f>
        <v>0</v>
      </c>
    </row>
    <row r="287" customFormat="false" ht="15" hidden="false" customHeight="false" outlineLevel="0" collapsed="false">
      <c r="B287" s="8" t="str">
        <f aca="false">IF(A287="","",IFERROR(INDEX(Evidence_Log!$B:$B,MATCH(A287,Evidence_Log!$A:$A,0)),"check ID"))</f>
        <v/>
      </c>
      <c r="I287" s="16" t="n">
        <f aca="false">IF(OR(A287="",C287="External driver"),0,IF(COUNTIFS(D$5:D287,D287,B$5:B287,B287,C$5:C287,"&lt;&gt;External driver")=1,1,0))</f>
        <v>0</v>
      </c>
    </row>
    <row r="288" customFormat="false" ht="15" hidden="false" customHeight="false" outlineLevel="0" collapsed="false">
      <c r="B288" s="8" t="str">
        <f aca="false">IF(A288="","",IFERROR(INDEX(Evidence_Log!$B:$B,MATCH(A288,Evidence_Log!$A:$A,0)),"check ID"))</f>
        <v/>
      </c>
      <c r="I288" s="16" t="n">
        <f aca="false">IF(OR(A288="",C288="External driver"),0,IF(COUNTIFS(D$5:D288,D288,B$5:B288,B288,C$5:C288,"&lt;&gt;External driver")=1,1,0))</f>
        <v>0</v>
      </c>
    </row>
    <row r="289" customFormat="false" ht="15" hidden="false" customHeight="false" outlineLevel="0" collapsed="false">
      <c r="B289" s="8" t="str">
        <f aca="false">IF(A289="","",IFERROR(INDEX(Evidence_Log!$B:$B,MATCH(A289,Evidence_Log!$A:$A,0)),"check ID"))</f>
        <v/>
      </c>
      <c r="I289" s="16" t="n">
        <f aca="false">IF(OR(A289="",C289="External driver"),0,IF(COUNTIFS(D$5:D289,D289,B$5:B289,B289,C$5:C289,"&lt;&gt;External driver")=1,1,0))</f>
        <v>0</v>
      </c>
    </row>
    <row r="290" customFormat="false" ht="15" hidden="false" customHeight="false" outlineLevel="0" collapsed="false">
      <c r="B290" s="8" t="str">
        <f aca="false">IF(A290="","",IFERROR(INDEX(Evidence_Log!$B:$B,MATCH(A290,Evidence_Log!$A:$A,0)),"check ID"))</f>
        <v/>
      </c>
      <c r="I290" s="16" t="n">
        <f aca="false">IF(OR(A290="",C290="External driver"),0,IF(COUNTIFS(D$5:D290,D290,B$5:B290,B290,C$5:C290,"&lt;&gt;External driver")=1,1,0))</f>
        <v>0</v>
      </c>
    </row>
    <row r="291" customFormat="false" ht="15" hidden="false" customHeight="false" outlineLevel="0" collapsed="false">
      <c r="B291" s="8" t="str">
        <f aca="false">IF(A291="","",IFERROR(INDEX(Evidence_Log!$B:$B,MATCH(A291,Evidence_Log!$A:$A,0)),"check ID"))</f>
        <v/>
      </c>
      <c r="I291" s="16" t="n">
        <f aca="false">IF(OR(A291="",C291="External driver"),0,IF(COUNTIFS(D$5:D291,D291,B$5:B291,B291,C$5:C291,"&lt;&gt;External driver")=1,1,0))</f>
        <v>0</v>
      </c>
    </row>
    <row r="292" customFormat="false" ht="15" hidden="false" customHeight="false" outlineLevel="0" collapsed="false">
      <c r="B292" s="8" t="str">
        <f aca="false">IF(A292="","",IFERROR(INDEX(Evidence_Log!$B:$B,MATCH(A292,Evidence_Log!$A:$A,0)),"check ID"))</f>
        <v/>
      </c>
      <c r="I292" s="16" t="n">
        <f aca="false">IF(OR(A292="",C292="External driver"),0,IF(COUNTIFS(D$5:D292,D292,B$5:B292,B292,C$5:C292,"&lt;&gt;External driver")=1,1,0))</f>
        <v>0</v>
      </c>
    </row>
    <row r="293" customFormat="false" ht="15" hidden="false" customHeight="false" outlineLevel="0" collapsed="false">
      <c r="B293" s="8" t="str">
        <f aca="false">IF(A293="","",IFERROR(INDEX(Evidence_Log!$B:$B,MATCH(A293,Evidence_Log!$A:$A,0)),"check ID"))</f>
        <v/>
      </c>
      <c r="I293" s="16" t="n">
        <f aca="false">IF(OR(A293="",C293="External driver"),0,IF(COUNTIFS(D$5:D293,D293,B$5:B293,B293,C$5:C293,"&lt;&gt;External driver")=1,1,0))</f>
        <v>0</v>
      </c>
    </row>
    <row r="294" customFormat="false" ht="15" hidden="false" customHeight="false" outlineLevel="0" collapsed="false">
      <c r="B294" s="8" t="str">
        <f aca="false">IF(A294="","",IFERROR(INDEX(Evidence_Log!$B:$B,MATCH(A294,Evidence_Log!$A:$A,0)),"check ID"))</f>
        <v/>
      </c>
      <c r="I294" s="16" t="n">
        <f aca="false">IF(OR(A294="",C294="External driver"),0,IF(COUNTIFS(D$5:D294,D294,B$5:B294,B294,C$5:C294,"&lt;&gt;External driver")=1,1,0))</f>
        <v>0</v>
      </c>
    </row>
    <row r="295" customFormat="false" ht="15" hidden="false" customHeight="false" outlineLevel="0" collapsed="false">
      <c r="B295" s="8" t="str">
        <f aca="false">IF(A295="","",IFERROR(INDEX(Evidence_Log!$B:$B,MATCH(A295,Evidence_Log!$A:$A,0)),"check ID"))</f>
        <v/>
      </c>
      <c r="I295" s="16" t="n">
        <f aca="false">IF(OR(A295="",C295="External driver"),0,IF(COUNTIFS(D$5:D295,D295,B$5:B295,B295,C$5:C295,"&lt;&gt;External driver")=1,1,0))</f>
        <v>0</v>
      </c>
    </row>
    <row r="296" customFormat="false" ht="15" hidden="false" customHeight="false" outlineLevel="0" collapsed="false">
      <c r="B296" s="8" t="str">
        <f aca="false">IF(A296="","",IFERROR(INDEX(Evidence_Log!$B:$B,MATCH(A296,Evidence_Log!$A:$A,0)),"check ID"))</f>
        <v/>
      </c>
      <c r="I296" s="16" t="n">
        <f aca="false">IF(OR(A296="",C296="External driver"),0,IF(COUNTIFS(D$5:D296,D296,B$5:B296,B296,C$5:C296,"&lt;&gt;External driver")=1,1,0))</f>
        <v>0</v>
      </c>
    </row>
    <row r="297" customFormat="false" ht="15" hidden="false" customHeight="false" outlineLevel="0" collapsed="false">
      <c r="B297" s="8" t="str">
        <f aca="false">IF(A297="","",IFERROR(INDEX(Evidence_Log!$B:$B,MATCH(A297,Evidence_Log!$A:$A,0)),"check ID"))</f>
        <v/>
      </c>
      <c r="I297" s="16" t="n">
        <f aca="false">IF(OR(A297="",C297="External driver"),0,IF(COUNTIFS(D$5:D297,D297,B$5:B297,B297,C$5:C297,"&lt;&gt;External driver")=1,1,0))</f>
        <v>0</v>
      </c>
    </row>
    <row r="298" customFormat="false" ht="15" hidden="false" customHeight="false" outlineLevel="0" collapsed="false">
      <c r="B298" s="8" t="str">
        <f aca="false">IF(A298="","",IFERROR(INDEX(Evidence_Log!$B:$B,MATCH(A298,Evidence_Log!$A:$A,0)),"check ID"))</f>
        <v/>
      </c>
      <c r="I298" s="16" t="n">
        <f aca="false">IF(OR(A298="",C298="External driver"),0,IF(COUNTIFS(D$5:D298,D298,B$5:B298,B298,C$5:C298,"&lt;&gt;External driver")=1,1,0))</f>
        <v>0</v>
      </c>
    </row>
    <row r="299" customFormat="false" ht="15" hidden="false" customHeight="false" outlineLevel="0" collapsed="false">
      <c r="B299" s="8" t="str">
        <f aca="false">IF(A299="","",IFERROR(INDEX(Evidence_Log!$B:$B,MATCH(A299,Evidence_Log!$A:$A,0)),"check ID"))</f>
        <v/>
      </c>
      <c r="I299" s="16" t="n">
        <f aca="false">IF(OR(A299="",C299="External driver"),0,IF(COUNTIFS(D$5:D299,D299,B$5:B299,B299,C$5:C299,"&lt;&gt;External driver")=1,1,0))</f>
        <v>0</v>
      </c>
    </row>
    <row r="300" customFormat="false" ht="15" hidden="false" customHeight="false" outlineLevel="0" collapsed="false">
      <c r="B300" s="8" t="str">
        <f aca="false">IF(A300="","",IFERROR(INDEX(Evidence_Log!$B:$B,MATCH(A300,Evidence_Log!$A:$A,0)),"check ID"))</f>
        <v/>
      </c>
      <c r="I300" s="16" t="n">
        <f aca="false">IF(OR(A300="",C300="External driver"),0,IF(COUNTIFS(D$5:D300,D300,B$5:B300,B300,C$5:C300,"&lt;&gt;External driver")=1,1,0))</f>
        <v>0</v>
      </c>
    </row>
    <row r="301" customFormat="false" ht="15" hidden="false" customHeight="false" outlineLevel="0" collapsed="false">
      <c r="B301" s="8" t="str">
        <f aca="false">IF(A301="","",IFERROR(INDEX(Evidence_Log!$B:$B,MATCH(A301,Evidence_Log!$A:$A,0)),"check ID"))</f>
        <v/>
      </c>
      <c r="I301" s="16" t="n">
        <f aca="false">IF(OR(A301="",C301="External driver"),0,IF(COUNTIFS(D$5:D301,D301,B$5:B301,B301,C$5:C301,"&lt;&gt;External driver")=1,1,0))</f>
        <v>0</v>
      </c>
    </row>
    <row r="302" customFormat="false" ht="15" hidden="false" customHeight="false" outlineLevel="0" collapsed="false">
      <c r="B302" s="8" t="str">
        <f aca="false">IF(A302="","",IFERROR(INDEX(Evidence_Log!$B:$B,MATCH(A302,Evidence_Log!$A:$A,0)),"check ID"))</f>
        <v/>
      </c>
      <c r="I302" s="16" t="n">
        <f aca="false">IF(OR(A302="",C302="External driver"),0,IF(COUNTIFS(D$5:D302,D302,B$5:B302,B302,C$5:C302,"&lt;&gt;External driver")=1,1,0))</f>
        <v>0</v>
      </c>
    </row>
    <row r="303" customFormat="false" ht="15" hidden="false" customHeight="false" outlineLevel="0" collapsed="false">
      <c r="B303" s="8" t="str">
        <f aca="false">IF(A303="","",IFERROR(INDEX(Evidence_Log!$B:$B,MATCH(A303,Evidence_Log!$A:$A,0)),"check ID"))</f>
        <v/>
      </c>
      <c r="I303" s="16" t="n">
        <f aca="false">IF(OR(A303="",C303="External driver"),0,IF(COUNTIFS(D$5:D303,D303,B$5:B303,B303,C$5:C303,"&lt;&gt;External driver")=1,1,0))</f>
        <v>0</v>
      </c>
    </row>
    <row r="304" customFormat="false" ht="15" hidden="false" customHeight="false" outlineLevel="0" collapsed="false">
      <c r="B304" s="8" t="str">
        <f aca="false">IF(A304="","",IFERROR(INDEX(Evidence_Log!$B:$B,MATCH(A304,Evidence_Log!$A:$A,0)),"check ID"))</f>
        <v/>
      </c>
      <c r="I304" s="16" t="n">
        <f aca="false">IF(OR(A304="",C304="External driver"),0,IF(COUNTIFS(D$5:D304,D304,B$5:B304,B304,C$5:C304,"&lt;&gt;External driver")=1,1,0))</f>
        <v>0</v>
      </c>
    </row>
  </sheetData>
  <dataValidations count="2">
    <dataValidation allowBlank="false" errorStyle="stop" operator="between" showDropDown="false" showErrorMessage="false" showInputMessage="false" sqref="C5:C304" type="list">
      <formula1>"Client exposure,Client action,Client position,External driver"</formula1>
      <formula2>0</formula2>
    </dataValidation>
    <dataValidation allowBlank="false" errorStyle="stop" operator="between" showDropDown="false" showErrorMessage="false" showInputMessage="false" sqref="G5:G304" type="list">
      <formula1>"Direct,Indirect"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4"/>
    <col collapsed="false" customWidth="true" hidden="false" outlineLevel="0" max="3" min="3" style="0" width="12"/>
    <col collapsed="false" customWidth="true" hidden="false" outlineLevel="0" max="4" min="4" style="0" width="95"/>
  </cols>
  <sheetData>
    <row r="1" customFormat="false" ht="17.35" hidden="false" customHeight="false" outlineLevel="0" collapsed="false">
      <c r="A1" s="1" t="s">
        <v>942</v>
      </c>
    </row>
    <row r="4" customFormat="false" ht="15" hidden="false" customHeight="false" outlineLevel="0" collapsed="false">
      <c r="A4" s="18" t="s">
        <v>943</v>
      </c>
      <c r="B4" s="18" t="s">
        <v>944</v>
      </c>
      <c r="C4" s="18" t="s">
        <v>945</v>
      </c>
      <c r="D4" s="18" t="s">
        <v>946</v>
      </c>
    </row>
    <row r="5" customFormat="false" ht="15" hidden="false" customHeight="false" outlineLevel="0" collapsed="false">
      <c r="A5" s="5" t="s">
        <v>947</v>
      </c>
      <c r="B5" s="19" t="s">
        <v>948</v>
      </c>
      <c r="C5" s="20" t="n">
        <v>0.3</v>
      </c>
      <c r="D5" s="19" t="s">
        <v>949</v>
      </c>
    </row>
    <row r="6" customFormat="false" ht="23.85" hidden="false" customHeight="false" outlineLevel="0" collapsed="false">
      <c r="A6" s="5" t="s">
        <v>950</v>
      </c>
      <c r="B6" s="19" t="s">
        <v>951</v>
      </c>
      <c r="C6" s="20" t="n">
        <v>0.25</v>
      </c>
      <c r="D6" s="19" t="s">
        <v>952</v>
      </c>
    </row>
    <row r="7" customFormat="false" ht="15" hidden="false" customHeight="false" outlineLevel="0" collapsed="false">
      <c r="A7" s="5" t="s">
        <v>953</v>
      </c>
      <c r="B7" s="19" t="s">
        <v>954</v>
      </c>
      <c r="C7" s="20" t="n">
        <v>0.2</v>
      </c>
      <c r="D7" s="19" t="s">
        <v>955</v>
      </c>
    </row>
    <row r="8" customFormat="false" ht="15" hidden="false" customHeight="false" outlineLevel="0" collapsed="false">
      <c r="A8" s="5" t="s">
        <v>956</v>
      </c>
      <c r="B8" s="19" t="s">
        <v>957</v>
      </c>
      <c r="C8" s="20" t="n">
        <v>0.15</v>
      </c>
      <c r="D8" s="19" t="s">
        <v>958</v>
      </c>
    </row>
    <row r="9" customFormat="false" ht="15" hidden="false" customHeight="false" outlineLevel="0" collapsed="false">
      <c r="A9" s="5" t="s">
        <v>959</v>
      </c>
      <c r="B9" s="19" t="s">
        <v>960</v>
      </c>
      <c r="C9" s="20" t="n">
        <v>0.1</v>
      </c>
      <c r="D9" s="19" t="s">
        <v>961</v>
      </c>
    </row>
    <row r="10" customFormat="false" ht="15" hidden="false" customHeight="false" outlineLevel="0" collapsed="false">
      <c r="B10" s="5" t="s">
        <v>962</v>
      </c>
      <c r="C10" s="21" t="n">
        <f aca="false">SUM(C5:C9)</f>
        <v>1</v>
      </c>
    </row>
    <row r="12" customFormat="false" ht="15" hidden="false" customHeight="false" outlineLevel="0" collapsed="false">
      <c r="A12" s="5" t="s">
        <v>963</v>
      </c>
    </row>
    <row r="13" customFormat="false" ht="15" hidden="false" customHeight="false" outlineLevel="0" collapsed="false">
      <c r="B13" s="19" t="s">
        <v>964</v>
      </c>
      <c r="C13" s="22" t="n">
        <v>4</v>
      </c>
    </row>
    <row r="14" customFormat="false" ht="15" hidden="false" customHeight="false" outlineLevel="0" collapsed="false">
      <c r="B14" s="19" t="s">
        <v>965</v>
      </c>
      <c r="C14" s="22" t="n">
        <v>3</v>
      </c>
    </row>
    <row r="16" customFormat="false" ht="15" hidden="false" customHeight="false" outlineLevel="0" collapsed="false">
      <c r="D16" s="7" t="s">
        <v>966</v>
      </c>
    </row>
    <row r="18" customFormat="false" ht="23.85" hidden="false" customHeight="false" outlineLevel="0" collapsed="false">
      <c r="A18" s="5" t="s">
        <v>967</v>
      </c>
    </row>
    <row r="19" customFormat="false" ht="23.85" hidden="false" customHeight="false" outlineLevel="0" collapsed="false">
      <c r="D19" s="19" t="s">
        <v>968</v>
      </c>
    </row>
    <row r="21" customFormat="false" ht="15" hidden="false" customHeight="false" outlineLevel="0" collapsed="false">
      <c r="A21" s="5" t="s">
        <v>969</v>
      </c>
      <c r="B21" s="5" t="s">
        <v>970</v>
      </c>
      <c r="C21" s="5" t="s">
        <v>971</v>
      </c>
    </row>
    <row r="22" customFormat="false" ht="15" hidden="false" customHeight="false" outlineLevel="0" collapsed="false">
      <c r="B22" s="23" t="n">
        <v>4</v>
      </c>
      <c r="C22" s="23" t="n">
        <v>5</v>
      </c>
    </row>
    <row r="23" customFormat="false" ht="15" hidden="false" customHeight="false" outlineLevel="0" collapsed="false">
      <c r="B23" s="23" t="n">
        <v>3</v>
      </c>
      <c r="C23" s="23" t="n">
        <v>4</v>
      </c>
    </row>
    <row r="24" customFormat="false" ht="15" hidden="false" customHeight="false" outlineLevel="0" collapsed="false">
      <c r="B24" s="23" t="n">
        <v>2</v>
      </c>
      <c r="C24" s="23" t="n">
        <v>3</v>
      </c>
    </row>
    <row r="25" customFormat="false" ht="15" hidden="false" customHeight="false" outlineLevel="0" collapsed="false">
      <c r="B25" s="23" t="n">
        <v>1</v>
      </c>
      <c r="C25" s="23" t="n">
        <v>2</v>
      </c>
    </row>
    <row r="26" customFormat="false" ht="15" hidden="false" customHeight="false" outlineLevel="0" collapsed="false">
      <c r="B26" s="23" t="n">
        <v>0</v>
      </c>
      <c r="C26" s="23" t="n">
        <v>1</v>
      </c>
    </row>
    <row r="28" customFormat="false" ht="15" hidden="false" customHeight="false" outlineLevel="0" collapsed="false">
      <c r="A28" s="5" t="s">
        <v>972</v>
      </c>
      <c r="B28" s="5" t="s">
        <v>973</v>
      </c>
      <c r="C28" s="5" t="s">
        <v>971</v>
      </c>
    </row>
    <row r="29" customFormat="false" ht="15" hidden="false" customHeight="false" outlineLevel="0" collapsed="false">
      <c r="B29" s="24" t="n">
        <v>0.8</v>
      </c>
      <c r="C29" s="23" t="n">
        <v>5</v>
      </c>
    </row>
    <row r="30" customFormat="false" ht="15" hidden="false" customHeight="false" outlineLevel="0" collapsed="false">
      <c r="B30" s="24" t="n">
        <v>0.6</v>
      </c>
      <c r="C30" s="23" t="n">
        <v>4</v>
      </c>
    </row>
    <row r="31" customFormat="false" ht="15" hidden="false" customHeight="false" outlineLevel="0" collapsed="false">
      <c r="B31" s="24" t="n">
        <v>0.4</v>
      </c>
      <c r="C31" s="23" t="n">
        <v>3</v>
      </c>
    </row>
    <row r="32" customFormat="false" ht="15" hidden="false" customHeight="false" outlineLevel="0" collapsed="false">
      <c r="B32" s="24" t="n">
        <v>0.2</v>
      </c>
      <c r="C32" s="23" t="n">
        <v>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26"/>
    <col collapsed="false" customWidth="true" hidden="false" outlineLevel="0" max="4" min="4" style="0" width="30"/>
    <col collapsed="false" customWidth="true" hidden="false" outlineLevel="0" max="7" min="5" style="0" width="10"/>
    <col collapsed="false" customWidth="true" hidden="false" outlineLevel="0" max="8" min="8" style="0" width="12"/>
    <col collapsed="false" customWidth="true" hidden="false" outlineLevel="0" max="9" min="9" style="0" width="11"/>
    <col collapsed="false" customWidth="true" hidden="false" outlineLevel="0" max="10" min="10" style="0" width="10"/>
    <col collapsed="false" customWidth="true" hidden="false" outlineLevel="0" max="11" min="11" style="0" width="9"/>
    <col collapsed="false" customWidth="true" hidden="false" outlineLevel="0" max="12" min="12" style="0" width="11"/>
    <col collapsed="false" customWidth="true" hidden="false" outlineLevel="0" max="15" min="13" style="0" width="10"/>
    <col collapsed="false" customWidth="true" hidden="false" outlineLevel="0" max="16" min="16" style="0" width="26"/>
    <col collapsed="false" customWidth="true" hidden="false" outlineLevel="0" max="17" min="17" style="0" width="70"/>
    <col collapsed="false" customWidth="true" hidden="false" outlineLevel="0" max="18" min="18" style="0" width="30"/>
    <col collapsed="false" customWidth="true" hidden="true" outlineLevel="0" max="19" min="19" style="0" width="12"/>
    <col collapsed="false" customWidth="true" hidden="false" outlineLevel="0" max="20" min="20" style="0" width="40"/>
    <col collapsed="false" customWidth="true" hidden="false" outlineLevel="0" max="21" min="21" style="0" width="22"/>
  </cols>
  <sheetData>
    <row r="1" customFormat="false" ht="17.35" hidden="false" customHeight="false" outlineLevel="0" collapsed="false">
      <c r="A1" s="1" t="s">
        <v>974</v>
      </c>
    </row>
    <row r="2" customFormat="false" ht="15" hidden="false" customHeight="false" outlineLevel="0" collapsed="false">
      <c r="A2" s="10" t="s">
        <v>975</v>
      </c>
    </row>
    <row r="4" customFormat="false" ht="46.25" hidden="false" customHeight="false" outlineLevel="0" collapsed="false">
      <c r="A4" s="4" t="s">
        <v>976</v>
      </c>
      <c r="B4" s="4" t="s">
        <v>361</v>
      </c>
      <c r="C4" s="4" t="s">
        <v>360</v>
      </c>
      <c r="D4" s="4" t="s">
        <v>362</v>
      </c>
      <c r="E4" s="4" t="s">
        <v>977</v>
      </c>
      <c r="F4" s="4" t="s">
        <v>978</v>
      </c>
      <c r="G4" s="4" t="s">
        <v>368</v>
      </c>
      <c r="H4" s="4" t="s">
        <v>979</v>
      </c>
      <c r="I4" s="4" t="s">
        <v>369</v>
      </c>
      <c r="J4" s="4" t="s">
        <v>980</v>
      </c>
      <c r="K4" s="4" t="s">
        <v>981</v>
      </c>
      <c r="L4" s="4" t="s">
        <v>967</v>
      </c>
      <c r="M4" s="4" t="s">
        <v>982</v>
      </c>
      <c r="N4" s="4" t="s">
        <v>983</v>
      </c>
      <c r="O4" s="4" t="s">
        <v>984</v>
      </c>
      <c r="P4" s="4" t="s">
        <v>985</v>
      </c>
      <c r="Q4" s="4" t="s">
        <v>938</v>
      </c>
      <c r="R4" s="4" t="s">
        <v>986</v>
      </c>
      <c r="S4" s="4" t="s">
        <v>987</v>
      </c>
      <c r="T4" s="4" t="s">
        <v>988</v>
      </c>
      <c r="U4" s="4" t="s">
        <v>989</v>
      </c>
    </row>
    <row r="5" customFormat="false" ht="15" hidden="false" customHeight="false" outlineLevel="0" collapsed="false">
      <c r="A5" s="19" t="n">
        <f aca="false">RANK(S5,$S$5:$S$19)</f>
        <v>1</v>
      </c>
      <c r="B5" s="19" t="s">
        <v>121</v>
      </c>
      <c r="C5" s="8" t="str">
        <f aca="false">Taxonomy!B5</f>
        <v>Water</v>
      </c>
      <c r="D5" s="8" t="str">
        <f aca="false">Taxonomy!D5</f>
        <v>Water usage</v>
      </c>
      <c r="E5" s="6"/>
      <c r="F5" s="6"/>
      <c r="G5" s="13" t="n">
        <f aca="false">Taxonomy!J5</f>
        <v>5</v>
      </c>
      <c r="H5" s="6"/>
      <c r="I5" s="13" t="n">
        <f aca="false">Taxonomy!K5</f>
        <v>2</v>
      </c>
      <c r="J5" s="25" t="str">
        <f aca="false">IF(COUNT(E5,F5,H5)&lt;3,"",ROUND(E5*Rubric!$C$5+F5*Rubric!$C$6+G5*Rubric!$C$7+H5*Rubric!$C$8+I5*Rubric!$C$9+0.000000001,1))</f>
        <v/>
      </c>
      <c r="K5" s="19" t="str">
        <f aca="false">IF(J5="","",IF(J5&gt;=Rubric!$C$13,"High",IF(J5&gt;=Rubric!$C$14,"Medium","Low")))</f>
        <v/>
      </c>
      <c r="L5" s="19" t="str">
        <f aca="false">IF(M5=0,"Low",IF(AND(M5&gt;=3,N5&gt;=2,O5&gt;=1),"High","Medium"))</f>
        <v>Low</v>
      </c>
      <c r="M5" s="19" t="n">
        <f aca="false">COUNTIFS(NBSAP_Mapping!$D$5:$D$304,B5,NBSAP_Mapping!$C$5:$C$304,"&lt;&gt;External driver",NBSAP_Mapping!$C$5:$C$304,"&lt;&gt;")</f>
        <v>0</v>
      </c>
      <c r="N5" s="19" t="n">
        <f aca="false">SUMIFS(NBSAP_Mapping!$I$5:$I$304,NBSAP_Mapping!$D$5:$D$304,B5)</f>
        <v>0</v>
      </c>
      <c r="O5" s="19" t="n">
        <f aca="false">COUNTIFS(NBSAP_Mapping!$D$5:$D$304,B5,NBSAP_Mapping!$C$5:$C$304,"&lt;&gt;External driver",NBSAP_Mapping!$C$5:$C$304,"&lt;&gt;",NBSAP_Mapping!$G$5:$G$304,"Direct")</f>
        <v>0</v>
      </c>
      <c r="P5" s="6"/>
      <c r="Q5" s="6"/>
      <c r="R5" s="6"/>
      <c r="S5" s="26" t="n">
        <f aca="false">IF(J5="",0,J5*10000+E5*100+F5*10+MIN(M5,9))-ROW()/100000</f>
        <v>-5E-005</v>
      </c>
      <c r="T5" s="6"/>
      <c r="U5" s="6"/>
    </row>
    <row r="6" customFormat="false" ht="15" hidden="false" customHeight="false" outlineLevel="0" collapsed="false">
      <c r="A6" s="19" t="n">
        <f aca="false">RANK(S6,$S$5:$S$19)</f>
        <v>2</v>
      </c>
      <c r="B6" s="19" t="s">
        <v>141</v>
      </c>
      <c r="C6" s="8" t="str">
        <f aca="false">Taxonomy!B6</f>
        <v>Water</v>
      </c>
      <c r="D6" s="8" t="str">
        <f aca="false">Taxonomy!D6</f>
        <v>Water quality</v>
      </c>
      <c r="E6" s="6"/>
      <c r="F6" s="6"/>
      <c r="G6" s="13" t="n">
        <f aca="false">Taxonomy!J6</f>
        <v>5</v>
      </c>
      <c r="H6" s="6"/>
      <c r="I6" s="13" t="n">
        <f aca="false">Taxonomy!K6</f>
        <v>4</v>
      </c>
      <c r="J6" s="25" t="str">
        <f aca="false">IF(COUNT(E6,F6,H6)&lt;3,"",ROUND(E6*Rubric!$C$5+F6*Rubric!$C$6+G6*Rubric!$C$7+H6*Rubric!$C$8+I6*Rubric!$C$9+0.000000001,1))</f>
        <v/>
      </c>
      <c r="K6" s="19" t="str">
        <f aca="false">IF(J6="","",IF(J6&gt;=Rubric!$C$13,"High",IF(J6&gt;=Rubric!$C$14,"Medium","Low")))</f>
        <v/>
      </c>
      <c r="L6" s="19" t="str">
        <f aca="false">IF(M6=0,"Low",IF(AND(M6&gt;=3,N6&gt;=2,O6&gt;=1),"High","Medium"))</f>
        <v>Low</v>
      </c>
      <c r="M6" s="19" t="n">
        <f aca="false">COUNTIFS(NBSAP_Mapping!$D$5:$D$304,B6,NBSAP_Mapping!$C$5:$C$304,"&lt;&gt;External driver",NBSAP_Mapping!$C$5:$C$304,"&lt;&gt;")</f>
        <v>0</v>
      </c>
      <c r="N6" s="19" t="n">
        <f aca="false">SUMIFS(NBSAP_Mapping!$I$5:$I$304,NBSAP_Mapping!$D$5:$D$304,B6)</f>
        <v>0</v>
      </c>
      <c r="O6" s="19" t="n">
        <f aca="false">COUNTIFS(NBSAP_Mapping!$D$5:$D$304,B6,NBSAP_Mapping!$C$5:$C$304,"&lt;&gt;External driver",NBSAP_Mapping!$C$5:$C$304,"&lt;&gt;",NBSAP_Mapping!$G$5:$G$304,"Direct")</f>
        <v>0</v>
      </c>
      <c r="P6" s="6"/>
      <c r="Q6" s="6"/>
      <c r="R6" s="6"/>
      <c r="S6" s="26" t="n">
        <f aca="false">IF(J6="",0,J6*10000+E6*100+F6*10+MIN(M6,9))-ROW()/100000</f>
        <v>-6E-005</v>
      </c>
      <c r="T6" s="6"/>
      <c r="U6" s="6"/>
    </row>
    <row r="7" customFormat="false" ht="15" hidden="false" customHeight="false" outlineLevel="0" collapsed="false">
      <c r="A7" s="19" t="n">
        <f aca="false">RANK(S7,$S$5:$S$19)</f>
        <v>3</v>
      </c>
      <c r="B7" s="19" t="s">
        <v>162</v>
      </c>
      <c r="C7" s="8" t="str">
        <f aca="false">Taxonomy!B7</f>
        <v>Water</v>
      </c>
      <c r="D7" s="8" t="str">
        <f aca="false">Taxonomy!D7</f>
        <v>Water availability</v>
      </c>
      <c r="E7" s="6"/>
      <c r="F7" s="6"/>
      <c r="G7" s="13" t="n">
        <f aca="false">Taxonomy!J7</f>
        <v>4</v>
      </c>
      <c r="H7" s="6"/>
      <c r="I7" s="13" t="n">
        <f aca="false">Taxonomy!K7</f>
        <v>4</v>
      </c>
      <c r="J7" s="25" t="str">
        <f aca="false">IF(COUNT(E7,F7,H7)&lt;3,"",ROUND(E7*Rubric!$C$5+F7*Rubric!$C$6+G7*Rubric!$C$7+H7*Rubric!$C$8+I7*Rubric!$C$9+0.000000001,1))</f>
        <v/>
      </c>
      <c r="K7" s="19" t="str">
        <f aca="false">IF(J7="","",IF(J7&gt;=Rubric!$C$13,"High",IF(J7&gt;=Rubric!$C$14,"Medium","Low")))</f>
        <v/>
      </c>
      <c r="L7" s="19" t="str">
        <f aca="false">IF(M7=0,"Low",IF(AND(M7&gt;=3,N7&gt;=2,O7&gt;=1),"High","Medium"))</f>
        <v>Low</v>
      </c>
      <c r="M7" s="19" t="n">
        <f aca="false">COUNTIFS(NBSAP_Mapping!$D$5:$D$304,B7,NBSAP_Mapping!$C$5:$C$304,"&lt;&gt;External driver",NBSAP_Mapping!$C$5:$C$304,"&lt;&gt;")</f>
        <v>0</v>
      </c>
      <c r="N7" s="19" t="n">
        <f aca="false">SUMIFS(NBSAP_Mapping!$I$5:$I$304,NBSAP_Mapping!$D$5:$D$304,B7)</f>
        <v>0</v>
      </c>
      <c r="O7" s="19" t="n">
        <f aca="false">COUNTIFS(NBSAP_Mapping!$D$5:$D$304,B7,NBSAP_Mapping!$C$5:$C$304,"&lt;&gt;External driver",NBSAP_Mapping!$C$5:$C$304,"&lt;&gt;",NBSAP_Mapping!$G$5:$G$304,"Direct")</f>
        <v>0</v>
      </c>
      <c r="P7" s="6"/>
      <c r="Q7" s="6"/>
      <c r="R7" s="6"/>
      <c r="S7" s="26" t="n">
        <f aca="false">IF(J7="",0,J7*10000+E7*100+F7*10+MIN(M7,9))-ROW()/100000</f>
        <v>-7E-005</v>
      </c>
      <c r="T7" s="6"/>
      <c r="U7" s="6"/>
    </row>
    <row r="8" customFormat="false" ht="23.85" hidden="false" customHeight="false" outlineLevel="0" collapsed="false">
      <c r="A8" s="19" t="n">
        <f aca="false">RANK(S8,$S$5:$S$19)</f>
        <v>4</v>
      </c>
      <c r="B8" s="19" t="s">
        <v>175</v>
      </c>
      <c r="C8" s="8" t="str">
        <f aca="false">Taxonomy!B8</f>
        <v>Agriculture, forestry and fisheries</v>
      </c>
      <c r="D8" s="8" t="str">
        <f aca="false">Taxonomy!D8</f>
        <v>Sustainable forestry</v>
      </c>
      <c r="E8" s="6"/>
      <c r="F8" s="6"/>
      <c r="G8" s="13" t="n">
        <f aca="false">Taxonomy!J8</f>
        <v>3</v>
      </c>
      <c r="H8" s="6"/>
      <c r="I8" s="13" t="n">
        <f aca="false">Taxonomy!K8</f>
        <v>3</v>
      </c>
      <c r="J8" s="25" t="str">
        <f aca="false">IF(COUNT(E8,F8,H8)&lt;3,"",ROUND(E8*Rubric!$C$5+F8*Rubric!$C$6+G8*Rubric!$C$7+H8*Rubric!$C$8+I8*Rubric!$C$9+0.000000001,1))</f>
        <v/>
      </c>
      <c r="K8" s="19" t="str">
        <f aca="false">IF(J8="","",IF(J8&gt;=Rubric!$C$13,"High",IF(J8&gt;=Rubric!$C$14,"Medium","Low")))</f>
        <v/>
      </c>
      <c r="L8" s="19" t="str">
        <f aca="false">IF(M8=0,"Low",IF(AND(M8&gt;=3,N8&gt;=2,O8&gt;=1),"High","Medium"))</f>
        <v>Low</v>
      </c>
      <c r="M8" s="19" t="n">
        <f aca="false">COUNTIFS(NBSAP_Mapping!$D$5:$D$304,B8,NBSAP_Mapping!$C$5:$C$304,"&lt;&gt;External driver",NBSAP_Mapping!$C$5:$C$304,"&lt;&gt;")</f>
        <v>0</v>
      </c>
      <c r="N8" s="19" t="n">
        <f aca="false">SUMIFS(NBSAP_Mapping!$I$5:$I$304,NBSAP_Mapping!$D$5:$D$304,B8)</f>
        <v>0</v>
      </c>
      <c r="O8" s="19" t="n">
        <f aca="false">COUNTIFS(NBSAP_Mapping!$D$5:$D$304,B8,NBSAP_Mapping!$C$5:$C$304,"&lt;&gt;External driver",NBSAP_Mapping!$C$5:$C$304,"&lt;&gt;",NBSAP_Mapping!$G$5:$G$304,"Direct")</f>
        <v>0</v>
      </c>
      <c r="P8" s="6"/>
      <c r="Q8" s="6"/>
      <c r="R8" s="6"/>
      <c r="S8" s="26" t="n">
        <f aca="false">IF(J8="",0,J8*10000+E8*100+F8*10+MIN(M8,9))-ROW()/100000</f>
        <v>-8E-005</v>
      </c>
      <c r="T8" s="6"/>
      <c r="U8" s="6"/>
    </row>
    <row r="9" customFormat="false" ht="23.85" hidden="false" customHeight="false" outlineLevel="0" collapsed="false">
      <c r="A9" s="19" t="n">
        <f aca="false">RANK(S9,$S$5:$S$19)</f>
        <v>5</v>
      </c>
      <c r="B9" s="19" t="s">
        <v>112</v>
      </c>
      <c r="C9" s="8" t="str">
        <f aca="false">Taxonomy!B9</f>
        <v>Agriculture, forestry and fisheries</v>
      </c>
      <c r="D9" s="8" t="str">
        <f aca="false">Taxonomy!D9</f>
        <v>Sustainable agriculture</v>
      </c>
      <c r="E9" s="6"/>
      <c r="F9" s="6"/>
      <c r="G9" s="13" t="n">
        <f aca="false">Taxonomy!J9</f>
        <v>3</v>
      </c>
      <c r="H9" s="6"/>
      <c r="I9" s="13" t="n">
        <f aca="false">Taxonomy!K9</f>
        <v>4</v>
      </c>
      <c r="J9" s="25" t="str">
        <f aca="false">IF(COUNT(E9,F9,H9)&lt;3,"",ROUND(E9*Rubric!$C$5+F9*Rubric!$C$6+G9*Rubric!$C$7+H9*Rubric!$C$8+I9*Rubric!$C$9+0.000000001,1))</f>
        <v/>
      </c>
      <c r="K9" s="19" t="str">
        <f aca="false">IF(J9="","",IF(J9&gt;=Rubric!$C$13,"High",IF(J9&gt;=Rubric!$C$14,"Medium","Low")))</f>
        <v/>
      </c>
      <c r="L9" s="19" t="str">
        <f aca="false">IF(M9=0,"Low",IF(AND(M9&gt;=3,N9&gt;=2,O9&gt;=1),"High","Medium"))</f>
        <v>Medium</v>
      </c>
      <c r="M9" s="19" t="n">
        <f aca="false">COUNTIFS(NBSAP_Mapping!$D$5:$D$304,B9,NBSAP_Mapping!$C$5:$C$304,"&lt;&gt;External driver",NBSAP_Mapping!$C$5:$C$304,"&lt;&gt;")</f>
        <v>1</v>
      </c>
      <c r="N9" s="19" t="n">
        <f aca="false">SUMIFS(NBSAP_Mapping!$I$5:$I$304,NBSAP_Mapping!$D$5:$D$304,B9)</f>
        <v>1</v>
      </c>
      <c r="O9" s="19" t="n">
        <f aca="false">COUNTIFS(NBSAP_Mapping!$D$5:$D$304,B9,NBSAP_Mapping!$C$5:$C$304,"&lt;&gt;External driver",NBSAP_Mapping!$C$5:$C$304,"&lt;&gt;",NBSAP_Mapping!$G$5:$G$304,"Direct")</f>
        <v>1</v>
      </c>
      <c r="P9" s="6"/>
      <c r="Q9" s="6"/>
      <c r="R9" s="6"/>
      <c r="S9" s="26" t="n">
        <f aca="false">IF(J9="",0,J9*10000+E9*100+F9*10+MIN(M9,9))-ROW()/100000</f>
        <v>-9E-005</v>
      </c>
      <c r="T9" s="6"/>
      <c r="U9" s="6"/>
    </row>
    <row r="10" customFormat="false" ht="23.85" hidden="false" customHeight="false" outlineLevel="0" collapsed="false">
      <c r="A10" s="19" t="n">
        <f aca="false">RANK(S10,$S$5:$S$19)</f>
        <v>6</v>
      </c>
      <c r="B10" s="19" t="s">
        <v>216</v>
      </c>
      <c r="C10" s="8" t="str">
        <f aca="false">Taxonomy!B10</f>
        <v>Agriculture, forestry and fisheries</v>
      </c>
      <c r="D10" s="8" t="str">
        <f aca="false">Taxonomy!D10</f>
        <v>Sustainable fisheries and aquaculture</v>
      </c>
      <c r="E10" s="6"/>
      <c r="F10" s="6"/>
      <c r="G10" s="13" t="n">
        <f aca="false">Taxonomy!J10</f>
        <v>2</v>
      </c>
      <c r="H10" s="6"/>
      <c r="I10" s="13" t="n">
        <f aca="false">Taxonomy!K10</f>
        <v>3</v>
      </c>
      <c r="J10" s="25" t="str">
        <f aca="false">IF(COUNT(E10,F10,H10)&lt;3,"",ROUND(E10*Rubric!$C$5+F10*Rubric!$C$6+G10*Rubric!$C$7+H10*Rubric!$C$8+I10*Rubric!$C$9+0.000000001,1))</f>
        <v/>
      </c>
      <c r="K10" s="19" t="str">
        <f aca="false">IF(J10="","",IF(J10&gt;=Rubric!$C$13,"High",IF(J10&gt;=Rubric!$C$14,"Medium","Low")))</f>
        <v/>
      </c>
      <c r="L10" s="19" t="str">
        <f aca="false">IF(M10=0,"Low",IF(AND(M10&gt;=3,N10&gt;=2,O10&gt;=1),"High","Medium"))</f>
        <v>Low</v>
      </c>
      <c r="M10" s="19" t="n">
        <f aca="false">COUNTIFS(NBSAP_Mapping!$D$5:$D$304,B10,NBSAP_Mapping!$C$5:$C$304,"&lt;&gt;External driver",NBSAP_Mapping!$C$5:$C$304,"&lt;&gt;")</f>
        <v>0</v>
      </c>
      <c r="N10" s="19" t="n">
        <f aca="false">SUMIFS(NBSAP_Mapping!$I$5:$I$304,NBSAP_Mapping!$D$5:$D$304,B10)</f>
        <v>0</v>
      </c>
      <c r="O10" s="19" t="n">
        <f aca="false">COUNTIFS(NBSAP_Mapping!$D$5:$D$304,B10,NBSAP_Mapping!$C$5:$C$304,"&lt;&gt;External driver",NBSAP_Mapping!$C$5:$C$304,"&lt;&gt;",NBSAP_Mapping!$G$5:$G$304,"Direct")</f>
        <v>0</v>
      </c>
      <c r="P10" s="6"/>
      <c r="Q10" s="6"/>
      <c r="R10" s="6"/>
      <c r="S10" s="26" t="n">
        <f aca="false">IF(J10="",0,J10*10000+E10*100+F10*10+MIN(M10,9))-ROW()/100000</f>
        <v>-0.0001</v>
      </c>
      <c r="T10" s="6"/>
      <c r="U10" s="6"/>
    </row>
    <row r="11" customFormat="false" ht="23.85" hidden="false" customHeight="false" outlineLevel="0" collapsed="false">
      <c r="A11" s="19" t="n">
        <f aca="false">RANK(S11,$S$5:$S$19)</f>
        <v>7</v>
      </c>
      <c r="B11" s="19" t="s">
        <v>238</v>
      </c>
      <c r="C11" s="8" t="str">
        <f aca="false">Taxonomy!B11</f>
        <v>Urban development and infrastructure</v>
      </c>
      <c r="D11" s="8" t="str">
        <f aca="false">Taxonomy!D11</f>
        <v>Nature-positive buildings</v>
      </c>
      <c r="E11" s="6"/>
      <c r="F11" s="6"/>
      <c r="G11" s="13" t="n">
        <f aca="false">Taxonomy!J11</f>
        <v>2</v>
      </c>
      <c r="H11" s="6"/>
      <c r="I11" s="13" t="n">
        <f aca="false">Taxonomy!K11</f>
        <v>1</v>
      </c>
      <c r="J11" s="25" t="str">
        <f aca="false">IF(COUNT(E11,F11,H11)&lt;3,"",ROUND(E11*Rubric!$C$5+F11*Rubric!$C$6+G11*Rubric!$C$7+H11*Rubric!$C$8+I11*Rubric!$C$9+0.000000001,1))</f>
        <v/>
      </c>
      <c r="K11" s="19" t="str">
        <f aca="false">IF(J11="","",IF(J11&gt;=Rubric!$C$13,"High",IF(J11&gt;=Rubric!$C$14,"Medium","Low")))</f>
        <v/>
      </c>
      <c r="L11" s="19" t="str">
        <f aca="false">IF(M11=0,"Low",IF(AND(M11&gt;=3,N11&gt;=2,O11&gt;=1),"High","Medium"))</f>
        <v>Low</v>
      </c>
      <c r="M11" s="19" t="n">
        <f aca="false">COUNTIFS(NBSAP_Mapping!$D$5:$D$304,B11,NBSAP_Mapping!$C$5:$C$304,"&lt;&gt;External driver",NBSAP_Mapping!$C$5:$C$304,"&lt;&gt;")</f>
        <v>0</v>
      </c>
      <c r="N11" s="19" t="n">
        <f aca="false">SUMIFS(NBSAP_Mapping!$I$5:$I$304,NBSAP_Mapping!$D$5:$D$304,B11)</f>
        <v>0</v>
      </c>
      <c r="O11" s="19" t="n">
        <f aca="false">COUNTIFS(NBSAP_Mapping!$D$5:$D$304,B11,NBSAP_Mapping!$C$5:$C$304,"&lt;&gt;External driver",NBSAP_Mapping!$C$5:$C$304,"&lt;&gt;",NBSAP_Mapping!$G$5:$G$304,"Direct")</f>
        <v>0</v>
      </c>
      <c r="P11" s="6"/>
      <c r="Q11" s="6"/>
      <c r="R11" s="6"/>
      <c r="S11" s="26" t="n">
        <f aca="false">IF(J11="",0,J11*10000+E11*100+F11*10+MIN(M11,9))-ROW()/100000</f>
        <v>-0.00011</v>
      </c>
      <c r="T11" s="6"/>
      <c r="U11" s="6"/>
    </row>
    <row r="12" customFormat="false" ht="23.85" hidden="false" customHeight="false" outlineLevel="0" collapsed="false">
      <c r="A12" s="19" t="n">
        <f aca="false">RANK(S12,$S$5:$S$19)</f>
        <v>8</v>
      </c>
      <c r="B12" s="19" t="s">
        <v>251</v>
      </c>
      <c r="C12" s="8" t="str">
        <f aca="false">Taxonomy!B12</f>
        <v>Urban development and infrastructure</v>
      </c>
      <c r="D12" s="8" t="str">
        <f aca="false">Taxonomy!D12</f>
        <v>Green-blue infrastructure, corridors and regeneration</v>
      </c>
      <c r="E12" s="6"/>
      <c r="F12" s="6"/>
      <c r="G12" s="13" t="n">
        <f aca="false">Taxonomy!J12</f>
        <v>1</v>
      </c>
      <c r="H12" s="6"/>
      <c r="I12" s="13" t="n">
        <f aca="false">Taxonomy!K12</f>
        <v>1</v>
      </c>
      <c r="J12" s="25" t="str">
        <f aca="false">IF(COUNT(E12,F12,H12)&lt;3,"",ROUND(E12*Rubric!$C$5+F12*Rubric!$C$6+G12*Rubric!$C$7+H12*Rubric!$C$8+I12*Rubric!$C$9+0.000000001,1))</f>
        <v/>
      </c>
      <c r="K12" s="19" t="str">
        <f aca="false">IF(J12="","",IF(J12&gt;=Rubric!$C$13,"High",IF(J12&gt;=Rubric!$C$14,"Medium","Low")))</f>
        <v/>
      </c>
      <c r="L12" s="19" t="str">
        <f aca="false">IF(M12=0,"Low",IF(AND(M12&gt;=3,N12&gt;=2,O12&gt;=1),"High","Medium"))</f>
        <v>Low</v>
      </c>
      <c r="M12" s="19" t="n">
        <f aca="false">COUNTIFS(NBSAP_Mapping!$D$5:$D$304,B12,NBSAP_Mapping!$C$5:$C$304,"&lt;&gt;External driver",NBSAP_Mapping!$C$5:$C$304,"&lt;&gt;")</f>
        <v>0</v>
      </c>
      <c r="N12" s="19" t="n">
        <f aca="false">SUMIFS(NBSAP_Mapping!$I$5:$I$304,NBSAP_Mapping!$D$5:$D$304,B12)</f>
        <v>0</v>
      </c>
      <c r="O12" s="19" t="n">
        <f aca="false">COUNTIFS(NBSAP_Mapping!$D$5:$D$304,B12,NBSAP_Mapping!$C$5:$C$304,"&lt;&gt;External driver",NBSAP_Mapping!$C$5:$C$304,"&lt;&gt;",NBSAP_Mapping!$G$5:$G$304,"Direct")</f>
        <v>0</v>
      </c>
      <c r="P12" s="6"/>
      <c r="Q12" s="6"/>
      <c r="R12" s="6"/>
      <c r="S12" s="26" t="n">
        <f aca="false">IF(J12="",0,J12*10000+E12*100+F12*10+MIN(M12,9))-ROW()/100000</f>
        <v>-0.00012</v>
      </c>
      <c r="T12" s="6"/>
      <c r="U12" s="6"/>
    </row>
    <row r="13" customFormat="false" ht="23.85" hidden="false" customHeight="false" outlineLevel="0" collapsed="false">
      <c r="A13" s="19" t="n">
        <f aca="false">RANK(S13,$S$5:$S$19)</f>
        <v>9</v>
      </c>
      <c r="B13" s="19" t="s">
        <v>264</v>
      </c>
      <c r="C13" s="8" t="str">
        <f aca="false">Taxonomy!B13</f>
        <v>Urban development and infrastructure</v>
      </c>
      <c r="D13" s="8" t="str">
        <f aca="false">Taxonomy!D13</f>
        <v>Land-use change and habitat protection</v>
      </c>
      <c r="E13" s="6"/>
      <c r="F13" s="6"/>
      <c r="G13" s="13" t="n">
        <f aca="false">Taxonomy!J13</f>
        <v>5</v>
      </c>
      <c r="H13" s="6"/>
      <c r="I13" s="13" t="n">
        <f aca="false">Taxonomy!K13</f>
        <v>5</v>
      </c>
      <c r="J13" s="25" t="str">
        <f aca="false">IF(COUNT(E13,F13,H13)&lt;3,"",ROUND(E13*Rubric!$C$5+F13*Rubric!$C$6+G13*Rubric!$C$7+H13*Rubric!$C$8+I13*Rubric!$C$9+0.000000001,1))</f>
        <v/>
      </c>
      <c r="K13" s="19" t="str">
        <f aca="false">IF(J13="","",IF(J13&gt;=Rubric!$C$13,"High",IF(J13&gt;=Rubric!$C$14,"Medium","Low")))</f>
        <v/>
      </c>
      <c r="L13" s="19" t="str">
        <f aca="false">IF(M13=0,"Low",IF(AND(M13&gt;=3,N13&gt;=2,O13&gt;=1),"High","Medium"))</f>
        <v>Low</v>
      </c>
      <c r="M13" s="19" t="n">
        <f aca="false">COUNTIFS(NBSAP_Mapping!$D$5:$D$304,B13,NBSAP_Mapping!$C$5:$C$304,"&lt;&gt;External driver",NBSAP_Mapping!$C$5:$C$304,"&lt;&gt;")</f>
        <v>0</v>
      </c>
      <c r="N13" s="19" t="n">
        <f aca="false">SUMIFS(NBSAP_Mapping!$I$5:$I$304,NBSAP_Mapping!$D$5:$D$304,B13)</f>
        <v>0</v>
      </c>
      <c r="O13" s="19" t="n">
        <f aca="false">COUNTIFS(NBSAP_Mapping!$D$5:$D$304,B13,NBSAP_Mapping!$C$5:$C$304,"&lt;&gt;External driver",NBSAP_Mapping!$C$5:$C$304,"&lt;&gt;",NBSAP_Mapping!$G$5:$G$304,"Direct")</f>
        <v>0</v>
      </c>
      <c r="P13" s="6"/>
      <c r="Q13" s="6"/>
      <c r="R13" s="6"/>
      <c r="S13" s="26" t="n">
        <f aca="false">IF(J13="",0,J13*10000+E13*100+F13*10+MIN(M13,9))-ROW()/100000</f>
        <v>-0.00013</v>
      </c>
      <c r="T13" s="6"/>
      <c r="U13" s="6"/>
    </row>
    <row r="14" customFormat="false" ht="23.85" hidden="false" customHeight="false" outlineLevel="0" collapsed="false">
      <c r="A14" s="19" t="n">
        <f aca="false">RANK(S14,$S$5:$S$19)</f>
        <v>10</v>
      </c>
      <c r="B14" s="19" t="s">
        <v>274</v>
      </c>
      <c r="C14" s="8" t="str">
        <f aca="false">Taxonomy!B14</f>
        <v>Disaster management and adaptation</v>
      </c>
      <c r="D14" s="8" t="str">
        <f aca="false">Taxonomy!D14</f>
        <v>Risk reduction and prevention</v>
      </c>
      <c r="E14" s="6"/>
      <c r="F14" s="6"/>
      <c r="G14" s="13" t="n">
        <f aca="false">Taxonomy!J14</f>
        <v>5</v>
      </c>
      <c r="H14" s="6"/>
      <c r="I14" s="13" t="n">
        <f aca="false">Taxonomy!K14</f>
        <v>5</v>
      </c>
      <c r="J14" s="25" t="str">
        <f aca="false">IF(COUNT(E14,F14,H14)&lt;3,"",ROUND(E14*Rubric!$C$5+F14*Rubric!$C$6+G14*Rubric!$C$7+H14*Rubric!$C$8+I14*Rubric!$C$9+0.000000001,1))</f>
        <v/>
      </c>
      <c r="K14" s="19" t="str">
        <f aca="false">IF(J14="","",IF(J14&gt;=Rubric!$C$13,"High",IF(J14&gt;=Rubric!$C$14,"Medium","Low")))</f>
        <v/>
      </c>
      <c r="L14" s="19" t="str">
        <f aca="false">IF(M14=0,"Low",IF(AND(M14&gt;=3,N14&gt;=2,O14&gt;=1),"High","Medium"))</f>
        <v>Low</v>
      </c>
      <c r="M14" s="19" t="n">
        <f aca="false">COUNTIFS(NBSAP_Mapping!$D$5:$D$304,B14,NBSAP_Mapping!$C$5:$C$304,"&lt;&gt;External driver",NBSAP_Mapping!$C$5:$C$304,"&lt;&gt;")</f>
        <v>0</v>
      </c>
      <c r="N14" s="19" t="n">
        <f aca="false">SUMIFS(NBSAP_Mapping!$I$5:$I$304,NBSAP_Mapping!$D$5:$D$304,B14)</f>
        <v>0</v>
      </c>
      <c r="O14" s="19" t="n">
        <f aca="false">COUNTIFS(NBSAP_Mapping!$D$5:$D$304,B14,NBSAP_Mapping!$C$5:$C$304,"&lt;&gt;External driver",NBSAP_Mapping!$C$5:$C$304,"&lt;&gt;",NBSAP_Mapping!$G$5:$G$304,"Direct")</f>
        <v>0</v>
      </c>
      <c r="P14" s="6"/>
      <c r="Q14" s="6"/>
      <c r="R14" s="6"/>
      <c r="S14" s="26" t="n">
        <f aca="false">IF(J14="",0,J14*10000+E14*100+F14*10+MIN(M14,9))-ROW()/100000</f>
        <v>-0.00014</v>
      </c>
      <c r="T14" s="6"/>
      <c r="U14" s="6"/>
    </row>
    <row r="15" customFormat="false" ht="23.85" hidden="false" customHeight="false" outlineLevel="0" collapsed="false">
      <c r="A15" s="19" t="n">
        <f aca="false">RANK(S15,$S$5:$S$19)</f>
        <v>11</v>
      </c>
      <c r="B15" s="19" t="s">
        <v>296</v>
      </c>
      <c r="C15" s="8" t="str">
        <f aca="false">Taxonomy!B15</f>
        <v>Disaster management and adaptation</v>
      </c>
      <c r="D15" s="8" t="str">
        <f aca="false">Taxonomy!D15</f>
        <v>Flood mitigation</v>
      </c>
      <c r="E15" s="6"/>
      <c r="F15" s="6"/>
      <c r="G15" s="13" t="n">
        <f aca="false">Taxonomy!J15</f>
        <v>1</v>
      </c>
      <c r="H15" s="6"/>
      <c r="I15" s="13" t="n">
        <f aca="false">Taxonomy!K15</f>
        <v>1</v>
      </c>
      <c r="J15" s="25" t="str">
        <f aca="false">IF(COUNT(E15,F15,H15)&lt;3,"",ROUND(E15*Rubric!$C$5+F15*Rubric!$C$6+G15*Rubric!$C$7+H15*Rubric!$C$8+I15*Rubric!$C$9+0.000000001,1))</f>
        <v/>
      </c>
      <c r="K15" s="19" t="str">
        <f aca="false">IF(J15="","",IF(J15&gt;=Rubric!$C$13,"High",IF(J15&gt;=Rubric!$C$14,"Medium","Low")))</f>
        <v/>
      </c>
      <c r="L15" s="19" t="str">
        <f aca="false">IF(M15=0,"Low",IF(AND(M15&gt;=3,N15&gt;=2,O15&gt;=1),"High","Medium"))</f>
        <v>Low</v>
      </c>
      <c r="M15" s="19" t="n">
        <f aca="false">COUNTIFS(NBSAP_Mapping!$D$5:$D$304,B15,NBSAP_Mapping!$C$5:$C$304,"&lt;&gt;External driver",NBSAP_Mapping!$C$5:$C$304,"&lt;&gt;")</f>
        <v>0</v>
      </c>
      <c r="N15" s="19" t="n">
        <f aca="false">SUMIFS(NBSAP_Mapping!$I$5:$I$304,NBSAP_Mapping!$D$5:$D$304,B15)</f>
        <v>0</v>
      </c>
      <c r="O15" s="19" t="n">
        <f aca="false">COUNTIFS(NBSAP_Mapping!$D$5:$D$304,B15,NBSAP_Mapping!$C$5:$C$304,"&lt;&gt;External driver",NBSAP_Mapping!$C$5:$C$304,"&lt;&gt;",NBSAP_Mapping!$G$5:$G$304,"Direct")</f>
        <v>0</v>
      </c>
      <c r="P15" s="6"/>
      <c r="Q15" s="6"/>
      <c r="R15" s="6"/>
      <c r="S15" s="26" t="n">
        <f aca="false">IF(J15="",0,J15*10000+E15*100+F15*10+MIN(M15,9))-ROW()/100000</f>
        <v>-0.00015</v>
      </c>
      <c r="T15" s="6"/>
      <c r="U15" s="6"/>
    </row>
    <row r="16" customFormat="false" ht="23.85" hidden="false" customHeight="false" outlineLevel="0" collapsed="false">
      <c r="A16" s="19" t="n">
        <f aca="false">RANK(S16,$S$5:$S$19)</f>
        <v>12</v>
      </c>
      <c r="B16" s="19" t="s">
        <v>312</v>
      </c>
      <c r="C16" s="8" t="str">
        <f aca="false">Taxonomy!B16</f>
        <v>Disaster management and adaptation</v>
      </c>
      <c r="D16" s="8" t="str">
        <f aca="false">Taxonomy!D16</f>
        <v>Long-term adaptation and resilience</v>
      </c>
      <c r="E16" s="6"/>
      <c r="F16" s="6"/>
      <c r="G16" s="13" t="n">
        <f aca="false">Taxonomy!J16</f>
        <v>2</v>
      </c>
      <c r="H16" s="6"/>
      <c r="I16" s="13" t="n">
        <f aca="false">Taxonomy!K16</f>
        <v>2</v>
      </c>
      <c r="J16" s="25" t="str">
        <f aca="false">IF(COUNT(E16,F16,H16)&lt;3,"",ROUND(E16*Rubric!$C$5+F16*Rubric!$C$6+G16*Rubric!$C$7+H16*Rubric!$C$8+I16*Rubric!$C$9+0.000000001,1))</f>
        <v/>
      </c>
      <c r="K16" s="19" t="str">
        <f aca="false">IF(J16="","",IF(J16&gt;=Rubric!$C$13,"High",IF(J16&gt;=Rubric!$C$14,"Medium","Low")))</f>
        <v/>
      </c>
      <c r="L16" s="19" t="str">
        <f aca="false">IF(M16=0,"Low",IF(AND(M16&gt;=3,N16&gt;=2,O16&gt;=1),"High","Medium"))</f>
        <v>Low</v>
      </c>
      <c r="M16" s="19" t="n">
        <f aca="false">COUNTIFS(NBSAP_Mapping!$D$5:$D$304,B16,NBSAP_Mapping!$C$5:$C$304,"&lt;&gt;External driver",NBSAP_Mapping!$C$5:$C$304,"&lt;&gt;")</f>
        <v>0</v>
      </c>
      <c r="N16" s="19" t="n">
        <f aca="false">SUMIFS(NBSAP_Mapping!$I$5:$I$304,NBSAP_Mapping!$D$5:$D$304,B16)</f>
        <v>0</v>
      </c>
      <c r="O16" s="19" t="n">
        <f aca="false">COUNTIFS(NBSAP_Mapping!$D$5:$D$304,B16,NBSAP_Mapping!$C$5:$C$304,"&lt;&gt;External driver",NBSAP_Mapping!$C$5:$C$304,"&lt;&gt;",NBSAP_Mapping!$G$5:$G$304,"Direct")</f>
        <v>0</v>
      </c>
      <c r="P16" s="6"/>
      <c r="Q16" s="6"/>
      <c r="R16" s="6"/>
      <c r="S16" s="26" t="n">
        <f aca="false">IF(J16="",0,J16*10000+E16*100+F16*10+MIN(M16,9))-ROW()/100000</f>
        <v>-0.00016</v>
      </c>
      <c r="T16" s="6"/>
      <c r="U16" s="6"/>
    </row>
    <row r="17" customFormat="false" ht="23.85" hidden="false" customHeight="false" outlineLevel="0" collapsed="false">
      <c r="A17" s="19" t="n">
        <f aca="false">RANK(S17,$S$5:$S$19)</f>
        <v>13</v>
      </c>
      <c r="B17" s="19" t="s">
        <v>322</v>
      </c>
      <c r="C17" s="8" t="str">
        <f aca="false">Taxonomy!B17</f>
        <v>Pollution and waste</v>
      </c>
      <c r="D17" s="8" t="str">
        <f aca="false">Taxonomy!D17</f>
        <v>Innovation in sustainable packaging and biodegradable materials</v>
      </c>
      <c r="E17" s="6"/>
      <c r="F17" s="6"/>
      <c r="G17" s="13" t="n">
        <f aca="false">Taxonomy!J17</f>
        <v>2</v>
      </c>
      <c r="H17" s="6"/>
      <c r="I17" s="13" t="n">
        <f aca="false">Taxonomy!K17</f>
        <v>2</v>
      </c>
      <c r="J17" s="25" t="str">
        <f aca="false">IF(COUNT(E17,F17,H17)&lt;3,"",ROUND(E17*Rubric!$C$5+F17*Rubric!$C$6+G17*Rubric!$C$7+H17*Rubric!$C$8+I17*Rubric!$C$9+0.000000001,1))</f>
        <v/>
      </c>
      <c r="K17" s="19" t="str">
        <f aca="false">IF(J17="","",IF(J17&gt;=Rubric!$C$13,"High",IF(J17&gt;=Rubric!$C$14,"Medium","Low")))</f>
        <v/>
      </c>
      <c r="L17" s="19" t="str">
        <f aca="false">IF(M17=0,"Low",IF(AND(M17&gt;=3,N17&gt;=2,O17&gt;=1),"High","Medium"))</f>
        <v>Low</v>
      </c>
      <c r="M17" s="19" t="n">
        <f aca="false">COUNTIFS(NBSAP_Mapping!$D$5:$D$304,B17,NBSAP_Mapping!$C$5:$C$304,"&lt;&gt;External driver",NBSAP_Mapping!$C$5:$C$304,"&lt;&gt;")</f>
        <v>0</v>
      </c>
      <c r="N17" s="19" t="n">
        <f aca="false">SUMIFS(NBSAP_Mapping!$I$5:$I$304,NBSAP_Mapping!$D$5:$D$304,B17)</f>
        <v>0</v>
      </c>
      <c r="O17" s="19" t="n">
        <f aca="false">COUNTIFS(NBSAP_Mapping!$D$5:$D$304,B17,NBSAP_Mapping!$C$5:$C$304,"&lt;&gt;External driver",NBSAP_Mapping!$C$5:$C$304,"&lt;&gt;",NBSAP_Mapping!$G$5:$G$304,"Direct")</f>
        <v>0</v>
      </c>
      <c r="P17" s="6"/>
      <c r="Q17" s="6"/>
      <c r="R17" s="6"/>
      <c r="S17" s="26" t="n">
        <f aca="false">IF(J17="",0,J17*10000+E17*100+F17*10+MIN(M17,9))-ROW()/100000</f>
        <v>-0.00017</v>
      </c>
      <c r="T17" s="6"/>
      <c r="U17" s="6"/>
    </row>
    <row r="18" customFormat="false" ht="15" hidden="false" customHeight="false" outlineLevel="0" collapsed="false">
      <c r="A18" s="19" t="n">
        <f aca="false">RANK(S18,$S$5:$S$19)</f>
        <v>14</v>
      </c>
      <c r="B18" s="19" t="s">
        <v>329</v>
      </c>
      <c r="C18" s="8" t="str">
        <f aca="false">Taxonomy!B18</f>
        <v>Pollution and waste</v>
      </c>
      <c r="D18" s="8" t="str">
        <f aca="false">Taxonomy!D18</f>
        <v>Waste &amp; circular economy</v>
      </c>
      <c r="E18" s="6"/>
      <c r="F18" s="6"/>
      <c r="G18" s="13" t="n">
        <f aca="false">Taxonomy!J18</f>
        <v>2</v>
      </c>
      <c r="H18" s="6"/>
      <c r="I18" s="13" t="n">
        <f aca="false">Taxonomy!K18</f>
        <v>5</v>
      </c>
      <c r="J18" s="25" t="str">
        <f aca="false">IF(COUNT(E18,F18,H18)&lt;3,"",ROUND(E18*Rubric!$C$5+F18*Rubric!$C$6+G18*Rubric!$C$7+H18*Rubric!$C$8+I18*Rubric!$C$9+0.000000001,1))</f>
        <v/>
      </c>
      <c r="K18" s="19" t="str">
        <f aca="false">IF(J18="","",IF(J18&gt;=Rubric!$C$13,"High",IF(J18&gt;=Rubric!$C$14,"Medium","Low")))</f>
        <v/>
      </c>
      <c r="L18" s="19" t="str">
        <f aca="false">IF(M18=0,"Low",IF(AND(M18&gt;=3,N18&gt;=2,O18&gt;=1),"High","Medium"))</f>
        <v>Low</v>
      </c>
      <c r="M18" s="19" t="n">
        <f aca="false">COUNTIFS(NBSAP_Mapping!$D$5:$D$304,B18,NBSAP_Mapping!$C$5:$C$304,"&lt;&gt;External driver",NBSAP_Mapping!$C$5:$C$304,"&lt;&gt;")</f>
        <v>0</v>
      </c>
      <c r="N18" s="19" t="n">
        <f aca="false">SUMIFS(NBSAP_Mapping!$I$5:$I$304,NBSAP_Mapping!$D$5:$D$304,B18)</f>
        <v>0</v>
      </c>
      <c r="O18" s="19" t="n">
        <f aca="false">COUNTIFS(NBSAP_Mapping!$D$5:$D$304,B18,NBSAP_Mapping!$C$5:$C$304,"&lt;&gt;External driver",NBSAP_Mapping!$C$5:$C$304,"&lt;&gt;",NBSAP_Mapping!$G$5:$G$304,"Direct")</f>
        <v>0</v>
      </c>
      <c r="P18" s="6"/>
      <c r="Q18" s="6"/>
      <c r="R18" s="6"/>
      <c r="S18" s="26" t="n">
        <f aca="false">IF(J18="",0,J18*10000+E18*100+F18*10+MIN(M18,9))-ROW()/100000</f>
        <v>-0.00018</v>
      </c>
      <c r="T18" s="6"/>
      <c r="U18" s="6"/>
    </row>
    <row r="19" customFormat="false" ht="23.85" hidden="false" customHeight="false" outlineLevel="0" collapsed="false">
      <c r="A19" s="19" t="n">
        <f aca="false">RANK(S19,$S$5:$S$19)</f>
        <v>15</v>
      </c>
      <c r="B19" s="19" t="s">
        <v>345</v>
      </c>
      <c r="C19" s="8" t="str">
        <f aca="false">Taxonomy!B19</f>
        <v>Pollution and waste</v>
      </c>
      <c r="D19" s="8" t="str">
        <f aca="false">Taxonomy!D19</f>
        <v>Air pollution, disturbances &amp; noise pollution</v>
      </c>
      <c r="E19" s="6"/>
      <c r="F19" s="6"/>
      <c r="G19" s="13" t="n">
        <f aca="false">Taxonomy!J19</f>
        <v>3</v>
      </c>
      <c r="H19" s="6"/>
      <c r="I19" s="13" t="n">
        <f aca="false">Taxonomy!K19</f>
        <v>3</v>
      </c>
      <c r="J19" s="25" t="str">
        <f aca="false">IF(COUNT(E19,F19,H19)&lt;3,"",ROUND(E19*Rubric!$C$5+F19*Rubric!$C$6+G19*Rubric!$C$7+H19*Rubric!$C$8+I19*Rubric!$C$9+0.000000001,1))</f>
        <v/>
      </c>
      <c r="K19" s="19" t="str">
        <f aca="false">IF(J19="","",IF(J19&gt;=Rubric!$C$13,"High",IF(J19&gt;=Rubric!$C$14,"Medium","Low")))</f>
        <v/>
      </c>
      <c r="L19" s="19" t="str">
        <f aca="false">IF(M19=0,"Low",IF(AND(M19&gt;=3,N19&gt;=2,O19&gt;=1),"High","Medium"))</f>
        <v>Low</v>
      </c>
      <c r="M19" s="19" t="n">
        <f aca="false">COUNTIFS(NBSAP_Mapping!$D$5:$D$304,B19,NBSAP_Mapping!$C$5:$C$304,"&lt;&gt;External driver",NBSAP_Mapping!$C$5:$C$304,"&lt;&gt;")</f>
        <v>0</v>
      </c>
      <c r="N19" s="19" t="n">
        <f aca="false">SUMIFS(NBSAP_Mapping!$I$5:$I$304,NBSAP_Mapping!$D$5:$D$304,B19)</f>
        <v>0</v>
      </c>
      <c r="O19" s="19" t="n">
        <f aca="false">COUNTIFS(NBSAP_Mapping!$D$5:$D$304,B19,NBSAP_Mapping!$C$5:$C$304,"&lt;&gt;External driver",NBSAP_Mapping!$C$5:$C$304,"&lt;&gt;",NBSAP_Mapping!$G$5:$G$304,"Direct")</f>
        <v>0</v>
      </c>
      <c r="P19" s="6"/>
      <c r="Q19" s="6"/>
      <c r="R19" s="6"/>
      <c r="S19" s="26" t="n">
        <f aca="false">IF(J19="",0,J19*10000+E19*100+F19*10+MIN(M19,9))-ROW()/100000</f>
        <v>-0.00019</v>
      </c>
      <c r="T19" s="6"/>
      <c r="U19" s="6"/>
    </row>
  </sheetData>
  <dataValidations count="1">
    <dataValidation allowBlank="false" errorStyle="stop" operator="between" showDropDown="false" showErrorMessage="false" showInputMessage="false" sqref="E5:F19 H5:H19" type="whole">
      <formula1>1</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95"/>
    <col collapsed="false" customWidth="true" hidden="false" outlineLevel="0" max="3" min="3" style="0" width="50"/>
    <col collapsed="false" customWidth="true" hidden="false" outlineLevel="0" max="4" min="4" style="0" width="11"/>
    <col collapsed="false" customWidth="true" hidden="false" outlineLevel="0" max="5" min="5" style="0" width="9"/>
    <col collapsed="false" customWidth="true" hidden="false" outlineLevel="0" max="6" min="6" style="0" width="22"/>
  </cols>
  <sheetData>
    <row r="1" customFormat="false" ht="17.35" hidden="false" customHeight="false" outlineLevel="0" collapsed="false">
      <c r="A1" s="1" t="s">
        <v>990</v>
      </c>
    </row>
    <row r="2" customFormat="false" ht="15" hidden="false" customHeight="false" outlineLevel="0" collapsed="false">
      <c r="A2" s="10" t="s">
        <v>991</v>
      </c>
    </row>
    <row r="4" customFormat="false" ht="23.85" hidden="false" customHeight="false" outlineLevel="0" collapsed="false">
      <c r="A4" s="4" t="s">
        <v>992</v>
      </c>
      <c r="B4" s="4" t="s">
        <v>15</v>
      </c>
      <c r="C4" s="4" t="s">
        <v>993</v>
      </c>
      <c r="D4" s="4" t="s">
        <v>994</v>
      </c>
      <c r="E4" s="4" t="s">
        <v>995</v>
      </c>
      <c r="F4" s="4" t="s">
        <v>996</v>
      </c>
    </row>
    <row r="5" customFormat="false" ht="15" hidden="false" customHeight="false" outlineLevel="0" collapsed="false">
      <c r="A5" s="5" t="s">
        <v>997</v>
      </c>
      <c r="B5" s="6"/>
      <c r="C5" s="7" t="s">
        <v>998</v>
      </c>
      <c r="D5" s="16" t="n">
        <v>70</v>
      </c>
      <c r="E5" s="16" t="n">
        <f aca="false">LEN(B5)</f>
        <v>0</v>
      </c>
      <c r="F5" s="19" t="str">
        <f aca="false">IF(B5="","Missing",IF(E5&gt;D5,"Too long: "&amp;(E5-D5)&amp;" over","OK"))</f>
        <v>Missing</v>
      </c>
    </row>
    <row r="6" customFormat="false" ht="15" hidden="false" customHeight="false" outlineLevel="0" collapsed="false">
      <c r="A6" s="5" t="s">
        <v>999</v>
      </c>
      <c r="B6" s="6"/>
      <c r="C6" s="7" t="s">
        <v>1000</v>
      </c>
      <c r="D6" s="16" t="n">
        <v>25</v>
      </c>
      <c r="E6" s="16" t="n">
        <f aca="false">LEN(B6)</f>
        <v>0</v>
      </c>
      <c r="F6" s="19" t="str">
        <f aca="false">IF(B6="","Missing",IF(E6&gt;D6,"Too long: "&amp;(E6-D6)&amp;" over","OK"))</f>
        <v>Missing</v>
      </c>
    </row>
    <row r="7" customFormat="false" ht="15" hidden="false" customHeight="false" outlineLevel="0" collapsed="false">
      <c r="A7" s="5" t="s">
        <v>1001</v>
      </c>
      <c r="B7" s="6"/>
      <c r="C7" s="7" t="s">
        <v>1002</v>
      </c>
      <c r="D7" s="16" t="n">
        <v>40</v>
      </c>
      <c r="E7" s="16" t="n">
        <f aca="false">LEN(B7)</f>
        <v>0</v>
      </c>
      <c r="F7" s="19" t="str">
        <f aca="false">IF(B7="","Missing",IF(E7&gt;D7,"Too long: "&amp;(E7-D7)&amp;" over","OK"))</f>
        <v>Missing</v>
      </c>
    </row>
    <row r="8" customFormat="false" ht="15" hidden="false" customHeight="false" outlineLevel="0" collapsed="false">
      <c r="A8" s="5" t="s">
        <v>1003</v>
      </c>
      <c r="B8" s="6"/>
      <c r="C8" s="7" t="s">
        <v>1004</v>
      </c>
      <c r="D8" s="16" t="n">
        <v>12</v>
      </c>
      <c r="E8" s="16" t="n">
        <f aca="false">LEN(B8)</f>
        <v>0</v>
      </c>
      <c r="F8" s="19" t="str">
        <f aca="false">IF(B8="","Missing",IF(E8&gt;D8,"Too long: "&amp;(E8-D8)&amp;" over","OK"))</f>
        <v>Missing</v>
      </c>
    </row>
    <row r="9" customFormat="false" ht="15" hidden="false" customHeight="false" outlineLevel="0" collapsed="false">
      <c r="A9" s="5" t="s">
        <v>1005</v>
      </c>
      <c r="B9" s="6"/>
      <c r="C9" s="7" t="s">
        <v>1006</v>
      </c>
      <c r="D9" s="16" t="n">
        <v>75</v>
      </c>
      <c r="E9" s="16" t="n">
        <f aca="false">LEN(B9)</f>
        <v>0</v>
      </c>
      <c r="F9" s="19" t="str">
        <f aca="false">IF(B9="","Missing",IF(E9&gt;D9,"Too long: "&amp;(E9-D9)&amp;" over","OK"))</f>
        <v>Missing</v>
      </c>
    </row>
    <row r="10" customFormat="false" ht="15" hidden="false" customHeight="false" outlineLevel="0" collapsed="false">
      <c r="A10" s="5" t="s">
        <v>1007</v>
      </c>
      <c r="B10" s="6"/>
      <c r="C10" s="7" t="s">
        <v>1008</v>
      </c>
      <c r="D10" s="16" t="n">
        <v>60</v>
      </c>
      <c r="E10" s="16" t="n">
        <f aca="false">LEN(B10)</f>
        <v>0</v>
      </c>
      <c r="F10" s="19" t="str">
        <f aca="false">IF(B10="","Missing",IF(E10&gt;D10,"Too long: "&amp;(E10-D10)&amp;" over","OK"))</f>
        <v>Missing</v>
      </c>
    </row>
    <row r="11" customFormat="false" ht="22.35" hidden="false" customHeight="false" outlineLevel="0" collapsed="false">
      <c r="A11" s="5" t="s">
        <v>1009</v>
      </c>
      <c r="B11" s="6"/>
      <c r="C11" s="7" t="s">
        <v>1010</v>
      </c>
      <c r="D11" s="16" t="n">
        <v>40</v>
      </c>
      <c r="E11" s="16" t="n">
        <f aca="false">LEN(B11)</f>
        <v>0</v>
      </c>
      <c r="F11" s="19" t="str">
        <f aca="false">IF(B11="","Missing",IF(E11&gt;D11,"Too long: "&amp;(E11-D11)&amp;" over","OK"))</f>
        <v>Missing</v>
      </c>
    </row>
    <row r="12" customFormat="false" ht="15" hidden="false" customHeight="false" outlineLevel="0" collapsed="false">
      <c r="A12" s="5" t="s">
        <v>1011</v>
      </c>
      <c r="B12" s="6"/>
      <c r="C12" s="7" t="s">
        <v>1012</v>
      </c>
      <c r="D12" s="16" t="n">
        <v>10</v>
      </c>
      <c r="E12" s="16" t="n">
        <f aca="false">LEN(B12)</f>
        <v>0</v>
      </c>
      <c r="F12" s="19" t="str">
        <f aca="false">IF(B12="","OK (optional)",IF(E12&gt;D12,"Too long: "&amp;(E12-D12)&amp;" over","OK"))</f>
        <v>OK (optional)</v>
      </c>
    </row>
    <row r="13" customFormat="false" ht="15" hidden="false" customHeight="false" outlineLevel="0" collapsed="false">
      <c r="A13" s="5" t="s">
        <v>1013</v>
      </c>
      <c r="B13" s="6"/>
      <c r="C13" s="7" t="s">
        <v>1014</v>
      </c>
      <c r="D13" s="16" t="n">
        <v>60</v>
      </c>
      <c r="E13" s="16" t="n">
        <f aca="false">LEN(B13)</f>
        <v>0</v>
      </c>
      <c r="F13" s="19" t="str">
        <f aca="false">IF(B13="","OK (optional)",IF(E13&gt;D13,"Too long: "&amp;(E13-D13)&amp;" over","OK"))</f>
        <v>OK (optional)</v>
      </c>
    </row>
    <row r="14" customFormat="false" ht="15" hidden="false" customHeight="false" outlineLevel="0" collapsed="false">
      <c r="A14" s="5" t="s">
        <v>1015</v>
      </c>
      <c r="B14" s="6"/>
      <c r="C14" s="7" t="s">
        <v>1016</v>
      </c>
      <c r="D14" s="16" t="n">
        <v>14</v>
      </c>
      <c r="E14" s="16" t="n">
        <f aca="false">LEN(B14)</f>
        <v>0</v>
      </c>
      <c r="F14" s="19" t="str">
        <f aca="false">IF(B14="","Missing",IF(E14&gt;D14,"Too long: "&amp;(E14-D14)&amp;" over","OK"))</f>
        <v>Missing</v>
      </c>
    </row>
    <row r="15" customFormat="false" ht="15" hidden="false" customHeight="false" outlineLevel="0" collapsed="false">
      <c r="A15" s="5" t="s">
        <v>1017</v>
      </c>
      <c r="B15" s="6"/>
      <c r="C15" s="7" t="s">
        <v>1018</v>
      </c>
      <c r="D15" s="16" t="n">
        <v>45</v>
      </c>
      <c r="E15" s="16" t="n">
        <f aca="false">LEN(B15)</f>
        <v>0</v>
      </c>
      <c r="F15" s="19" t="str">
        <f aca="false">IF(B15="","Missing",IF(E15&gt;D15,"Too long: "&amp;(E15-D15)&amp;" over","OK"))</f>
        <v>Missing</v>
      </c>
    </row>
    <row r="16" customFormat="false" ht="15" hidden="false" customHeight="false" outlineLevel="0" collapsed="false">
      <c r="A16" s="5" t="s">
        <v>1019</v>
      </c>
      <c r="B16" s="6"/>
      <c r="C16" s="7" t="s">
        <v>1020</v>
      </c>
      <c r="D16" s="16" t="n">
        <v>14</v>
      </c>
      <c r="E16" s="16" t="n">
        <f aca="false">LEN(B16)</f>
        <v>0</v>
      </c>
      <c r="F16" s="19" t="str">
        <f aca="false">IF(B16="","Missing",IF(E16&gt;D16,"Too long: "&amp;(E16-D16)&amp;" over","OK"))</f>
        <v>Missing</v>
      </c>
    </row>
    <row r="17" customFormat="false" ht="15" hidden="false" customHeight="false" outlineLevel="0" collapsed="false">
      <c r="A17" s="5" t="s">
        <v>1021</v>
      </c>
      <c r="B17" s="6"/>
      <c r="C17" s="7" t="s">
        <v>1018</v>
      </c>
      <c r="D17" s="16" t="n">
        <v>45</v>
      </c>
      <c r="E17" s="16" t="n">
        <f aca="false">LEN(B17)</f>
        <v>0</v>
      </c>
      <c r="F17" s="19" t="str">
        <f aca="false">IF(B17="","Missing",IF(E17&gt;D17,"Too long: "&amp;(E17-D17)&amp;" over","OK"))</f>
        <v>Missing</v>
      </c>
    </row>
    <row r="18" customFormat="false" ht="15" hidden="false" customHeight="false" outlineLevel="0" collapsed="false">
      <c r="A18" s="5" t="s">
        <v>1022</v>
      </c>
      <c r="B18" s="6"/>
      <c r="C18" s="7" t="s">
        <v>1020</v>
      </c>
      <c r="D18" s="16" t="n">
        <v>14</v>
      </c>
      <c r="E18" s="16" t="n">
        <f aca="false">LEN(B18)</f>
        <v>0</v>
      </c>
      <c r="F18" s="19" t="str">
        <f aca="false">IF(B18="","Missing",IF(E18&gt;D18,"Too long: "&amp;(E18-D18)&amp;" over","OK"))</f>
        <v>Missing</v>
      </c>
    </row>
    <row r="19" customFormat="false" ht="15" hidden="false" customHeight="false" outlineLevel="0" collapsed="false">
      <c r="A19" s="5" t="s">
        <v>1023</v>
      </c>
      <c r="B19" s="6"/>
      <c r="C19" s="7" t="s">
        <v>1018</v>
      </c>
      <c r="D19" s="16" t="n">
        <v>45</v>
      </c>
      <c r="E19" s="16" t="n">
        <f aca="false">LEN(B19)</f>
        <v>0</v>
      </c>
      <c r="F19" s="19" t="str">
        <f aca="false">IF(B19="","Missing",IF(E19&gt;D19,"Too long: "&amp;(E19-D19)&amp;" over","OK"))</f>
        <v>Missing</v>
      </c>
    </row>
    <row r="20" customFormat="false" ht="15" hidden="false" customHeight="false" outlineLevel="0" collapsed="false">
      <c r="A20" s="5" t="s">
        <v>1024</v>
      </c>
      <c r="B20" s="6"/>
      <c r="C20" s="7" t="s">
        <v>1025</v>
      </c>
      <c r="D20" s="16" t="n">
        <v>40</v>
      </c>
      <c r="E20" s="16" t="n">
        <f aca="false">LEN(B20)</f>
        <v>0</v>
      </c>
      <c r="F20" s="19" t="str">
        <f aca="false">IF(B20="","Missing",IF(E20&gt;D20,"Too long: "&amp;(E20-D20)&amp;" over","OK"))</f>
        <v>Missing</v>
      </c>
    </row>
    <row r="21" customFormat="false" ht="15" hidden="false" customHeight="false" outlineLevel="0" collapsed="false">
      <c r="A21" s="5" t="s">
        <v>1026</v>
      </c>
      <c r="B21" s="6"/>
      <c r="C21" s="7" t="s">
        <v>1027</v>
      </c>
      <c r="D21" s="16" t="n">
        <v>10</v>
      </c>
      <c r="E21" s="16" t="n">
        <f aca="false">LEN(B21)</f>
        <v>0</v>
      </c>
      <c r="F21" s="19" t="str">
        <f aca="false">IF(B21="","Missing",IF(E21&gt;D21,"Too long: "&amp;(E21-D21)&amp;" over","OK"))</f>
        <v>Missing</v>
      </c>
    </row>
    <row r="22" customFormat="false" ht="15" hidden="false" customHeight="false" outlineLevel="0" collapsed="false">
      <c r="A22" s="5" t="s">
        <v>1028</v>
      </c>
      <c r="B22" s="6"/>
      <c r="C22" s="7" t="s">
        <v>1029</v>
      </c>
      <c r="D22" s="16" t="n">
        <v>60</v>
      </c>
      <c r="E22" s="16" t="n">
        <f aca="false">LEN(B22)</f>
        <v>0</v>
      </c>
      <c r="F22" s="19" t="str">
        <f aca="false">IF(B22="","Missing",IF(E22&gt;D22,"Too long: "&amp;(E22-D22)&amp;" over","OK"))</f>
        <v>Missing</v>
      </c>
    </row>
    <row r="23" customFormat="false" ht="15" hidden="false" customHeight="false" outlineLevel="0" collapsed="false">
      <c r="A23" s="5" t="s">
        <v>1030</v>
      </c>
      <c r="B23" s="6"/>
      <c r="C23" s="7" t="s">
        <v>1020</v>
      </c>
      <c r="D23" s="16" t="n">
        <v>14</v>
      </c>
      <c r="E23" s="16" t="n">
        <f aca="false">LEN(B23)</f>
        <v>0</v>
      </c>
      <c r="F23" s="19" t="str">
        <f aca="false">IF(B23="","Missing",IF(E23&gt;D23,"Too long: "&amp;(E23-D23)&amp;" over","OK"))</f>
        <v>Missing</v>
      </c>
    </row>
    <row r="24" customFormat="false" ht="15" hidden="false" customHeight="false" outlineLevel="0" collapsed="false">
      <c r="A24" s="5" t="s">
        <v>1031</v>
      </c>
      <c r="B24" s="6"/>
      <c r="C24" s="7" t="s">
        <v>1018</v>
      </c>
      <c r="D24" s="16" t="n">
        <v>45</v>
      </c>
      <c r="E24" s="16" t="n">
        <f aca="false">LEN(B24)</f>
        <v>0</v>
      </c>
      <c r="F24" s="19" t="str">
        <f aca="false">IF(B24="","Missing",IF(E24&gt;D24,"Too long: "&amp;(E24-D24)&amp;" over","OK"))</f>
        <v>Missing</v>
      </c>
    </row>
    <row r="25" customFormat="false" ht="15" hidden="false" customHeight="false" outlineLevel="0" collapsed="false">
      <c r="A25" s="5" t="s">
        <v>1032</v>
      </c>
      <c r="B25" s="6"/>
      <c r="C25" s="7" t="s">
        <v>1020</v>
      </c>
      <c r="D25" s="16" t="n">
        <v>14</v>
      </c>
      <c r="E25" s="16" t="n">
        <f aca="false">LEN(B25)</f>
        <v>0</v>
      </c>
      <c r="F25" s="19" t="str">
        <f aca="false">IF(B25="","Missing",IF(E25&gt;D25,"Too long: "&amp;(E25-D25)&amp;" over","OK"))</f>
        <v>Missing</v>
      </c>
    </row>
    <row r="26" customFormat="false" ht="15" hidden="false" customHeight="false" outlineLevel="0" collapsed="false">
      <c r="A26" s="5" t="s">
        <v>1033</v>
      </c>
      <c r="B26" s="6"/>
      <c r="C26" s="7" t="s">
        <v>1018</v>
      </c>
      <c r="D26" s="16" t="n">
        <v>45</v>
      </c>
      <c r="E26" s="16" t="n">
        <f aca="false">LEN(B26)</f>
        <v>0</v>
      </c>
      <c r="F26" s="19" t="str">
        <f aca="false">IF(B26="","Missing",IF(E26&gt;D26,"Too long: "&amp;(E26-D26)&amp;" over","OK"))</f>
        <v>Missing</v>
      </c>
    </row>
    <row r="27" customFormat="false" ht="15" hidden="false" customHeight="false" outlineLevel="0" collapsed="false">
      <c r="A27" s="5" t="s">
        <v>1034</v>
      </c>
      <c r="B27" s="6"/>
      <c r="C27" s="7" t="s">
        <v>1020</v>
      </c>
      <c r="D27" s="16" t="n">
        <v>14</v>
      </c>
      <c r="E27" s="16" t="n">
        <f aca="false">LEN(B27)</f>
        <v>0</v>
      </c>
      <c r="F27" s="19" t="str">
        <f aca="false">IF(B27="","Missing",IF(E27&gt;D27,"Too long: "&amp;(E27-D27)&amp;" over","OK"))</f>
        <v>Missing</v>
      </c>
    </row>
    <row r="28" customFormat="false" ht="15" hidden="false" customHeight="false" outlineLevel="0" collapsed="false">
      <c r="A28" s="5" t="s">
        <v>1035</v>
      </c>
      <c r="B28" s="6"/>
      <c r="C28" s="7" t="s">
        <v>1018</v>
      </c>
      <c r="D28" s="16" t="n">
        <v>45</v>
      </c>
      <c r="E28" s="16" t="n">
        <f aca="false">LEN(B28)</f>
        <v>0</v>
      </c>
      <c r="F28" s="19" t="str">
        <f aca="false">IF(B28="","Missing",IF(E28&gt;D28,"Too long: "&amp;(E28-D28)&amp;" over","OK"))</f>
        <v>Missing</v>
      </c>
    </row>
    <row r="29" customFormat="false" ht="15" hidden="false" customHeight="false" outlineLevel="0" collapsed="false">
      <c r="A29" s="5" t="s">
        <v>1036</v>
      </c>
      <c r="B29" s="6"/>
      <c r="C29" s="7" t="s">
        <v>1037</v>
      </c>
      <c r="D29" s="16" t="n">
        <v>40</v>
      </c>
      <c r="E29" s="16" t="n">
        <f aca="false">LEN(B29)</f>
        <v>0</v>
      </c>
      <c r="F29" s="19" t="str">
        <f aca="false">IF(B29="","Missing",IF(E29&gt;D29,"Too long: "&amp;(E29-D29)&amp;" over","OK"))</f>
        <v>Missing</v>
      </c>
    </row>
    <row r="30" customFormat="false" ht="15" hidden="false" customHeight="false" outlineLevel="0" collapsed="false">
      <c r="A30" s="5" t="s">
        <v>1038</v>
      </c>
      <c r="B30" s="6"/>
      <c r="C30" s="7" t="s">
        <v>1039</v>
      </c>
      <c r="D30" s="16" t="n">
        <v>10</v>
      </c>
      <c r="E30" s="16" t="n">
        <f aca="false">LEN(B30)</f>
        <v>0</v>
      </c>
      <c r="F30" s="19" t="str">
        <f aca="false">IF(B30="","Missing",IF(E30&gt;D30,"Too long: "&amp;(E30-D30)&amp;" over","OK"))</f>
        <v>Missing</v>
      </c>
    </row>
    <row r="31" customFormat="false" ht="15" hidden="false" customHeight="false" outlineLevel="0" collapsed="false">
      <c r="A31" s="5" t="s">
        <v>1040</v>
      </c>
      <c r="B31" s="6"/>
      <c r="C31" s="7" t="s">
        <v>1029</v>
      </c>
      <c r="D31" s="16" t="n">
        <v>60</v>
      </c>
      <c r="E31" s="16" t="n">
        <f aca="false">LEN(B31)</f>
        <v>0</v>
      </c>
      <c r="F31" s="19" t="str">
        <f aca="false">IF(B31="","Missing",IF(E31&gt;D31,"Too long: "&amp;(E31-D31)&amp;" over","OK"))</f>
        <v>Missing</v>
      </c>
    </row>
    <row r="32" customFormat="false" ht="15" hidden="false" customHeight="false" outlineLevel="0" collapsed="false">
      <c r="A32" s="5" t="s">
        <v>1041</v>
      </c>
      <c r="B32" s="6"/>
      <c r="C32" s="7" t="s">
        <v>1020</v>
      </c>
      <c r="D32" s="16" t="n">
        <v>14</v>
      </c>
      <c r="E32" s="16" t="n">
        <f aca="false">LEN(B32)</f>
        <v>0</v>
      </c>
      <c r="F32" s="19" t="str">
        <f aca="false">IF(B32="","Missing",IF(E32&gt;D32,"Too long: "&amp;(E32-D32)&amp;" over","OK"))</f>
        <v>Missing</v>
      </c>
    </row>
    <row r="33" customFormat="false" ht="15" hidden="false" customHeight="false" outlineLevel="0" collapsed="false">
      <c r="A33" s="5" t="s">
        <v>1042</v>
      </c>
      <c r="B33" s="6"/>
      <c r="C33" s="7" t="s">
        <v>1018</v>
      </c>
      <c r="D33" s="16" t="n">
        <v>45</v>
      </c>
      <c r="E33" s="16" t="n">
        <f aca="false">LEN(B33)</f>
        <v>0</v>
      </c>
      <c r="F33" s="19" t="str">
        <f aca="false">IF(B33="","Missing",IF(E33&gt;D33,"Too long: "&amp;(E33-D33)&amp;" over","OK"))</f>
        <v>Missing</v>
      </c>
    </row>
    <row r="34" customFormat="false" ht="15" hidden="false" customHeight="false" outlineLevel="0" collapsed="false">
      <c r="A34" s="5" t="s">
        <v>1043</v>
      </c>
      <c r="B34" s="6"/>
      <c r="C34" s="7" t="s">
        <v>1020</v>
      </c>
      <c r="D34" s="16" t="n">
        <v>14</v>
      </c>
      <c r="E34" s="16" t="n">
        <f aca="false">LEN(B34)</f>
        <v>0</v>
      </c>
      <c r="F34" s="19" t="str">
        <f aca="false">IF(B34="","Missing",IF(E34&gt;D34,"Too long: "&amp;(E34-D34)&amp;" over","OK"))</f>
        <v>Missing</v>
      </c>
    </row>
    <row r="35" customFormat="false" ht="15" hidden="false" customHeight="false" outlineLevel="0" collapsed="false">
      <c r="A35" s="5" t="s">
        <v>1044</v>
      </c>
      <c r="B35" s="6"/>
      <c r="C35" s="7" t="s">
        <v>1018</v>
      </c>
      <c r="D35" s="16" t="n">
        <v>45</v>
      </c>
      <c r="E35" s="16" t="n">
        <f aca="false">LEN(B35)</f>
        <v>0</v>
      </c>
      <c r="F35" s="19" t="str">
        <f aca="false">IF(B35="","Missing",IF(E35&gt;D35,"Too long: "&amp;(E35-D35)&amp;" over","OK"))</f>
        <v>Missing</v>
      </c>
    </row>
    <row r="36" customFormat="false" ht="15" hidden="false" customHeight="false" outlineLevel="0" collapsed="false">
      <c r="A36" s="5" t="s">
        <v>1045</v>
      </c>
      <c r="B36" s="6"/>
      <c r="C36" s="7" t="s">
        <v>1020</v>
      </c>
      <c r="D36" s="16" t="n">
        <v>14</v>
      </c>
      <c r="E36" s="16" t="n">
        <f aca="false">LEN(B36)</f>
        <v>0</v>
      </c>
      <c r="F36" s="19" t="str">
        <f aca="false">IF(B36="","Missing",IF(E36&gt;D36,"Too long: "&amp;(E36-D36)&amp;" over","OK"))</f>
        <v>Missing</v>
      </c>
    </row>
    <row r="37" customFormat="false" ht="15" hidden="false" customHeight="false" outlineLevel="0" collapsed="false">
      <c r="A37" s="5" t="s">
        <v>1046</v>
      </c>
      <c r="B37" s="6"/>
      <c r="C37" s="7" t="s">
        <v>1018</v>
      </c>
      <c r="D37" s="16" t="n">
        <v>45</v>
      </c>
      <c r="E37" s="16" t="n">
        <f aca="false">LEN(B37)</f>
        <v>0</v>
      </c>
      <c r="F37" s="19" t="str">
        <f aca="false">IF(B37="","Missing",IF(E37&gt;D37,"Too long: "&amp;(E37-D37)&amp;" over","OK"))</f>
        <v>Missing</v>
      </c>
    </row>
    <row r="38" customFormat="false" ht="15" hidden="false" customHeight="false" outlineLevel="0" collapsed="false">
      <c r="A38" s="5" t="s">
        <v>1047</v>
      </c>
      <c r="B38" s="6"/>
      <c r="C38" s="7" t="s">
        <v>1048</v>
      </c>
      <c r="D38" s="16" t="n">
        <v>150</v>
      </c>
      <c r="E38" s="16" t="n">
        <f aca="false">LEN(B38)</f>
        <v>0</v>
      </c>
      <c r="F38" s="19" t="str">
        <f aca="false">IF(B38="","Missing",IF(E38&gt;D38,"Too long: "&amp;(E38-D38)&amp;" over","OK"))</f>
        <v>Missing</v>
      </c>
    </row>
    <row r="39" customFormat="false" ht="15" hidden="false" customHeight="false" outlineLevel="0" collapsed="false">
      <c r="A39" s="5" t="s">
        <v>1049</v>
      </c>
      <c r="B39" s="6"/>
      <c r="C39" s="7" t="s">
        <v>1050</v>
      </c>
      <c r="D39" s="16" t="n">
        <v>140</v>
      </c>
      <c r="E39" s="16" t="n">
        <f aca="false">LEN(B39)</f>
        <v>0</v>
      </c>
      <c r="F39" s="19" t="str">
        <f aca="false">IF(B39="","Missing",IF(E39&gt;D39,"Too long: "&amp;(E39-D39)&amp;" over","OK"))</f>
        <v>Missing</v>
      </c>
    </row>
    <row r="40" customFormat="false" ht="15" hidden="false" customHeight="false" outlineLevel="0" collapsed="false">
      <c r="A40" s="5" t="s">
        <v>1051</v>
      </c>
      <c r="B40" s="6"/>
      <c r="C40" s="7" t="s">
        <v>1052</v>
      </c>
      <c r="D40" s="16" t="n">
        <v>220</v>
      </c>
      <c r="E40" s="16" t="n">
        <f aca="false">LEN(B40)</f>
        <v>0</v>
      </c>
      <c r="F40" s="19" t="str">
        <f aca="false">IF(B40="","Missing",IF(E40&gt;D40,"Too long: "&amp;(E40-D40)&amp;" over","OK"))</f>
        <v>Missing</v>
      </c>
    </row>
    <row r="41" customFormat="false" ht="15" hidden="false" customHeight="false" outlineLevel="0" collapsed="false">
      <c r="A41" s="5" t="s">
        <v>1053</v>
      </c>
      <c r="B41" s="6"/>
      <c r="C41" s="7" t="s">
        <v>1054</v>
      </c>
      <c r="D41" s="16" t="n">
        <v>1000</v>
      </c>
      <c r="E41" s="16" t="n">
        <f aca="false">LEN(B41)</f>
        <v>0</v>
      </c>
      <c r="F41" s="19" t="str">
        <f aca="false">IF(B41="","Missing",IF(E41&gt;D41,"Too long: "&amp;(E41-D41)&amp;" over","OK"))</f>
        <v>Missing</v>
      </c>
    </row>
    <row r="42" customFormat="false" ht="15" hidden="false" customHeight="false" outlineLevel="0" collapsed="false">
      <c r="A42" s="5" t="s">
        <v>1055</v>
      </c>
      <c r="B42" s="6"/>
      <c r="C42" s="7" t="s">
        <v>1006</v>
      </c>
      <c r="D42" s="16" t="n">
        <v>75</v>
      </c>
      <c r="E42" s="16" t="n">
        <f aca="false">LEN(B42)</f>
        <v>0</v>
      </c>
      <c r="F42" s="19" t="str">
        <f aca="false">IF(B42="","Missing",IF(E42&gt;D42,"Too long: "&amp;(E42-D42)&amp;" over","OK"))</f>
        <v>Missing</v>
      </c>
    </row>
    <row r="43" customFormat="false" ht="15" hidden="false" customHeight="false" outlineLevel="0" collapsed="false">
      <c r="A43" s="5" t="s">
        <v>1056</v>
      </c>
      <c r="B43" s="6"/>
      <c r="C43" s="7" t="s">
        <v>1057</v>
      </c>
      <c r="D43" s="16" t="n">
        <v>60</v>
      </c>
      <c r="E43" s="16" t="n">
        <f aca="false">LEN(B43)</f>
        <v>0</v>
      </c>
      <c r="F43" s="19" t="str">
        <f aca="false">IF(B43="","Missing",IF(E43&gt;D43,"Too long: "&amp;(E43-D43)&amp;" over","OK"))</f>
        <v>Missing</v>
      </c>
    </row>
    <row r="44" customFormat="false" ht="15" hidden="false" customHeight="false" outlineLevel="0" collapsed="false">
      <c r="A44" s="5" t="s">
        <v>1058</v>
      </c>
      <c r="B44" s="6"/>
      <c r="C44" s="7" t="s">
        <v>1059</v>
      </c>
      <c r="D44" s="16" t="n">
        <v>25</v>
      </c>
      <c r="E44" s="16" t="n">
        <f aca="false">LEN(B44)</f>
        <v>0</v>
      </c>
      <c r="F44" s="19" t="str">
        <f aca="false">IF(B44="","Missing",IF(E44&gt;D44,"Too long: "&amp;(E44-D44)&amp;" over","OK"))</f>
        <v>Missing</v>
      </c>
    </row>
    <row r="45" customFormat="false" ht="15" hidden="false" customHeight="false" outlineLevel="0" collapsed="false">
      <c r="A45" s="5" t="s">
        <v>1060</v>
      </c>
      <c r="B45" s="6"/>
      <c r="C45" s="7" t="s">
        <v>1061</v>
      </c>
      <c r="D45" s="16" t="n">
        <v>10</v>
      </c>
      <c r="E45" s="16" t="n">
        <f aca="false">LEN(B45)</f>
        <v>0</v>
      </c>
      <c r="F45" s="19" t="str">
        <f aca="false">IF(B45="","Missing",IF(E45&gt;D45,"Too long: "&amp;(E45-D45)&amp;" over","OK"))</f>
        <v>Missing</v>
      </c>
    </row>
    <row r="46" customFormat="false" ht="15" hidden="false" customHeight="false" outlineLevel="0" collapsed="false">
      <c r="A46" s="5" t="s">
        <v>1062</v>
      </c>
      <c r="B46" s="6"/>
      <c r="C46" s="7" t="s">
        <v>1063</v>
      </c>
      <c r="D46" s="16" t="n">
        <v>45</v>
      </c>
      <c r="E46" s="16" t="n">
        <f aca="false">LEN(B46)</f>
        <v>0</v>
      </c>
      <c r="F46" s="19" t="str">
        <f aca="false">IF(B46="","Missing",IF(E46&gt;D46,"Too long: "&amp;(E46-D46)&amp;" over","OK"))</f>
        <v>Missing</v>
      </c>
    </row>
    <row r="47" customFormat="false" ht="15" hidden="false" customHeight="false" outlineLevel="0" collapsed="false">
      <c r="A47" s="5" t="s">
        <v>1064</v>
      </c>
      <c r="B47" s="6"/>
      <c r="C47" s="7" t="s">
        <v>1065</v>
      </c>
      <c r="D47" s="16" t="n">
        <v>14</v>
      </c>
      <c r="E47" s="16" t="n">
        <f aca="false">LEN(B47)</f>
        <v>0</v>
      </c>
      <c r="F47" s="19" t="str">
        <f aca="false">IF(B47="","Missing",IF(E47&gt;D47,"Too long: "&amp;(E47-D47)&amp;" over","OK"))</f>
        <v>Missing</v>
      </c>
    </row>
    <row r="48" customFormat="false" ht="15" hidden="false" customHeight="false" outlineLevel="0" collapsed="false">
      <c r="A48" s="5" t="s">
        <v>1066</v>
      </c>
      <c r="B48" s="6"/>
      <c r="C48" s="7" t="s">
        <v>1067</v>
      </c>
      <c r="D48" s="16" t="n">
        <v>20</v>
      </c>
      <c r="E48" s="16" t="n">
        <f aca="false">LEN(B48)</f>
        <v>0</v>
      </c>
      <c r="F48" s="19" t="str">
        <f aca="false">IF(B48="","Missing",IF(E48&gt;D48,"Too long: "&amp;(E48-D48)&amp;" over","OK"))</f>
        <v>Missing</v>
      </c>
    </row>
    <row r="49" customFormat="false" ht="15" hidden="false" customHeight="false" outlineLevel="0" collapsed="false">
      <c r="A49" s="5" t="s">
        <v>1068</v>
      </c>
      <c r="B49" s="6"/>
      <c r="C49" s="7" t="s">
        <v>1061</v>
      </c>
      <c r="D49" s="16" t="n">
        <v>10</v>
      </c>
      <c r="E49" s="16" t="n">
        <f aca="false">LEN(B49)</f>
        <v>0</v>
      </c>
      <c r="F49" s="19" t="str">
        <f aca="false">IF(B49="","Missing",IF(E49&gt;D49,"Too long: "&amp;(E49-D49)&amp;" over","OK"))</f>
        <v>Missing</v>
      </c>
    </row>
    <row r="50" customFormat="false" ht="15" hidden="false" customHeight="false" outlineLevel="0" collapsed="false">
      <c r="A50" s="5" t="s">
        <v>1069</v>
      </c>
      <c r="B50" s="6"/>
      <c r="C50" s="7" t="s">
        <v>1063</v>
      </c>
      <c r="D50" s="16" t="n">
        <v>45</v>
      </c>
      <c r="E50" s="16" t="n">
        <f aca="false">LEN(B50)</f>
        <v>0</v>
      </c>
      <c r="F50" s="19" t="str">
        <f aca="false">IF(B50="","Missing",IF(E50&gt;D50,"Too long: "&amp;(E50-D50)&amp;" over","OK"))</f>
        <v>Missing</v>
      </c>
    </row>
    <row r="51" customFormat="false" ht="15" hidden="false" customHeight="false" outlineLevel="0" collapsed="false">
      <c r="A51" s="5" t="s">
        <v>1070</v>
      </c>
      <c r="B51" s="6"/>
      <c r="C51" s="7" t="s">
        <v>1065</v>
      </c>
      <c r="D51" s="16" t="n">
        <v>14</v>
      </c>
      <c r="E51" s="16" t="n">
        <f aca="false">LEN(B51)</f>
        <v>0</v>
      </c>
      <c r="F51" s="19" t="str">
        <f aca="false">IF(B51="","Missing",IF(E51&gt;D51,"Too long: "&amp;(E51-D51)&amp;" over","OK"))</f>
        <v>Missing</v>
      </c>
    </row>
    <row r="52" customFormat="false" ht="15" hidden="false" customHeight="false" outlineLevel="0" collapsed="false">
      <c r="A52" s="5" t="s">
        <v>1071</v>
      </c>
      <c r="B52" s="6"/>
      <c r="C52" s="7" t="s">
        <v>1067</v>
      </c>
      <c r="D52" s="16" t="n">
        <v>20</v>
      </c>
      <c r="E52" s="16" t="n">
        <f aca="false">LEN(B52)</f>
        <v>0</v>
      </c>
      <c r="F52" s="19" t="str">
        <f aca="false">IF(B52="","Missing",IF(E52&gt;D52,"Too long: "&amp;(E52-D52)&amp;" over","OK"))</f>
        <v>Missing</v>
      </c>
    </row>
    <row r="53" customFormat="false" ht="15" hidden="false" customHeight="false" outlineLevel="0" collapsed="false">
      <c r="A53" s="5" t="s">
        <v>1072</v>
      </c>
      <c r="B53" s="6"/>
      <c r="C53" s="7" t="s">
        <v>1061</v>
      </c>
      <c r="D53" s="16" t="n">
        <v>10</v>
      </c>
      <c r="E53" s="16" t="n">
        <f aca="false">LEN(B53)</f>
        <v>0</v>
      </c>
      <c r="F53" s="19" t="str">
        <f aca="false">IF(B53="","Missing",IF(E53&gt;D53,"Too long: "&amp;(E53-D53)&amp;" over","OK"))</f>
        <v>Missing</v>
      </c>
    </row>
    <row r="54" customFormat="false" ht="15" hidden="false" customHeight="false" outlineLevel="0" collapsed="false">
      <c r="A54" s="5" t="s">
        <v>1073</v>
      </c>
      <c r="B54" s="6"/>
      <c r="C54" s="7" t="s">
        <v>1063</v>
      </c>
      <c r="D54" s="16" t="n">
        <v>45</v>
      </c>
      <c r="E54" s="16" t="n">
        <f aca="false">LEN(B54)</f>
        <v>0</v>
      </c>
      <c r="F54" s="19" t="str">
        <f aca="false">IF(B54="","Missing",IF(E54&gt;D54,"Too long: "&amp;(E54-D54)&amp;" over","OK"))</f>
        <v>Missing</v>
      </c>
    </row>
    <row r="55" customFormat="false" ht="15" hidden="false" customHeight="false" outlineLevel="0" collapsed="false">
      <c r="A55" s="5" t="s">
        <v>1074</v>
      </c>
      <c r="B55" s="6"/>
      <c r="C55" s="7" t="s">
        <v>1065</v>
      </c>
      <c r="D55" s="16" t="n">
        <v>14</v>
      </c>
      <c r="E55" s="16" t="n">
        <f aca="false">LEN(B55)</f>
        <v>0</v>
      </c>
      <c r="F55" s="19" t="str">
        <f aca="false">IF(B55="","Missing",IF(E55&gt;D55,"Too long: "&amp;(E55-D55)&amp;" over","OK"))</f>
        <v>Missing</v>
      </c>
    </row>
    <row r="56" customFormat="false" ht="15" hidden="false" customHeight="false" outlineLevel="0" collapsed="false">
      <c r="A56" s="5" t="s">
        <v>1075</v>
      </c>
      <c r="B56" s="6"/>
      <c r="C56" s="7" t="s">
        <v>1067</v>
      </c>
      <c r="D56" s="16" t="n">
        <v>20</v>
      </c>
      <c r="E56" s="16" t="n">
        <f aca="false">LEN(B56)</f>
        <v>0</v>
      </c>
      <c r="F56" s="19" t="str">
        <f aca="false">IF(B56="","Missing",IF(E56&gt;D56,"Too long: "&amp;(E56-D56)&amp;" over","OK"))</f>
        <v>Missing</v>
      </c>
    </row>
    <row r="57" customFormat="false" ht="15" hidden="false" customHeight="false" outlineLevel="0" collapsed="false">
      <c r="A57" s="5" t="s">
        <v>1076</v>
      </c>
      <c r="B57" s="6"/>
      <c r="C57" s="7" t="s">
        <v>1061</v>
      </c>
      <c r="D57" s="16" t="n">
        <v>10</v>
      </c>
      <c r="E57" s="16" t="n">
        <f aca="false">LEN(B57)</f>
        <v>0</v>
      </c>
      <c r="F57" s="19" t="str">
        <f aca="false">IF(B57="","Missing",IF(E57&gt;D57,"Too long: "&amp;(E57-D57)&amp;" over","OK"))</f>
        <v>Missing</v>
      </c>
    </row>
    <row r="58" customFormat="false" ht="15" hidden="false" customHeight="false" outlineLevel="0" collapsed="false">
      <c r="A58" s="5" t="s">
        <v>1077</v>
      </c>
      <c r="B58" s="6"/>
      <c r="C58" s="7" t="s">
        <v>1063</v>
      </c>
      <c r="D58" s="16" t="n">
        <v>45</v>
      </c>
      <c r="E58" s="16" t="n">
        <f aca="false">LEN(B58)</f>
        <v>0</v>
      </c>
      <c r="F58" s="19" t="str">
        <f aca="false">IF(B58="","Missing",IF(E58&gt;D58,"Too long: "&amp;(E58-D58)&amp;" over","OK"))</f>
        <v>Missing</v>
      </c>
    </row>
    <row r="59" customFormat="false" ht="15" hidden="false" customHeight="false" outlineLevel="0" collapsed="false">
      <c r="A59" s="5" t="s">
        <v>1078</v>
      </c>
      <c r="B59" s="6"/>
      <c r="C59" s="7" t="s">
        <v>1065</v>
      </c>
      <c r="D59" s="16" t="n">
        <v>14</v>
      </c>
      <c r="E59" s="16" t="n">
        <f aca="false">LEN(B59)</f>
        <v>0</v>
      </c>
      <c r="F59" s="19" t="str">
        <f aca="false">IF(B59="","Missing",IF(E59&gt;D59,"Too long: "&amp;(E59-D59)&amp;" over","OK"))</f>
        <v>Missing</v>
      </c>
    </row>
    <row r="60" customFormat="false" ht="15" hidden="false" customHeight="false" outlineLevel="0" collapsed="false">
      <c r="A60" s="5" t="s">
        <v>1079</v>
      </c>
      <c r="B60" s="6"/>
      <c r="C60" s="7" t="s">
        <v>1067</v>
      </c>
      <c r="D60" s="16" t="n">
        <v>20</v>
      </c>
      <c r="E60" s="16" t="n">
        <f aca="false">LEN(B60)</f>
        <v>0</v>
      </c>
      <c r="F60" s="19" t="str">
        <f aca="false">IF(B60="","Missing",IF(E60&gt;D60,"Too long: "&amp;(E60-D60)&amp;" over","OK"))</f>
        <v>Missing</v>
      </c>
    </row>
    <row r="61" customFormat="false" ht="15" hidden="false" customHeight="false" outlineLevel="0" collapsed="false">
      <c r="A61" s="5" t="s">
        <v>1080</v>
      </c>
      <c r="B61" s="6"/>
      <c r="C61" s="7" t="s">
        <v>1061</v>
      </c>
      <c r="D61" s="16" t="n">
        <v>10</v>
      </c>
      <c r="E61" s="16" t="n">
        <f aca="false">LEN(B61)</f>
        <v>0</v>
      </c>
      <c r="F61" s="19" t="str">
        <f aca="false">IF(B61="","Missing",IF(E61&gt;D61,"Too long: "&amp;(E61-D61)&amp;" over","OK"))</f>
        <v>Missing</v>
      </c>
    </row>
    <row r="62" customFormat="false" ht="15" hidden="false" customHeight="false" outlineLevel="0" collapsed="false">
      <c r="A62" s="5" t="s">
        <v>1081</v>
      </c>
      <c r="B62" s="6"/>
      <c r="C62" s="7" t="s">
        <v>1063</v>
      </c>
      <c r="D62" s="16" t="n">
        <v>45</v>
      </c>
      <c r="E62" s="16" t="n">
        <f aca="false">LEN(B62)</f>
        <v>0</v>
      </c>
      <c r="F62" s="19" t="str">
        <f aca="false">IF(B62="","Missing",IF(E62&gt;D62,"Too long: "&amp;(E62-D62)&amp;" over","OK"))</f>
        <v>Missing</v>
      </c>
    </row>
    <row r="63" customFormat="false" ht="15" hidden="false" customHeight="false" outlineLevel="0" collapsed="false">
      <c r="A63" s="5" t="s">
        <v>1082</v>
      </c>
      <c r="B63" s="6"/>
      <c r="C63" s="7" t="s">
        <v>1065</v>
      </c>
      <c r="D63" s="16" t="n">
        <v>14</v>
      </c>
      <c r="E63" s="16" t="n">
        <f aca="false">LEN(B63)</f>
        <v>0</v>
      </c>
      <c r="F63" s="19" t="str">
        <f aca="false">IF(B63="","Missing",IF(E63&gt;D63,"Too long: "&amp;(E63-D63)&amp;" over","OK"))</f>
        <v>Missing</v>
      </c>
    </row>
    <row r="64" customFormat="false" ht="15" hidden="false" customHeight="false" outlineLevel="0" collapsed="false">
      <c r="A64" s="5" t="s">
        <v>1083</v>
      </c>
      <c r="B64" s="6"/>
      <c r="C64" s="7" t="s">
        <v>1067</v>
      </c>
      <c r="D64" s="16" t="n">
        <v>20</v>
      </c>
      <c r="E64" s="16" t="n">
        <f aca="false">LEN(B64)</f>
        <v>0</v>
      </c>
      <c r="F64" s="19" t="str">
        <f aca="false">IF(B64="","Missing",IF(E64&gt;D64,"Too long: "&amp;(E64-D64)&amp;" over","OK"))</f>
        <v>Missing</v>
      </c>
    </row>
    <row r="65" customFormat="false" ht="15" hidden="false" customHeight="false" outlineLevel="0" collapsed="false">
      <c r="A65" s="5" t="s">
        <v>1084</v>
      </c>
      <c r="B65" s="6"/>
      <c r="C65" s="7" t="s">
        <v>1061</v>
      </c>
      <c r="D65" s="16" t="n">
        <v>10</v>
      </c>
      <c r="E65" s="16" t="n">
        <f aca="false">LEN(B65)</f>
        <v>0</v>
      </c>
      <c r="F65" s="19" t="str">
        <f aca="false">IF(B65="","Missing",IF(E65&gt;D65,"Too long: "&amp;(E65-D65)&amp;" over","OK"))</f>
        <v>Missing</v>
      </c>
    </row>
    <row r="66" customFormat="false" ht="15" hidden="false" customHeight="false" outlineLevel="0" collapsed="false">
      <c r="A66" s="5" t="s">
        <v>1085</v>
      </c>
      <c r="B66" s="6"/>
      <c r="C66" s="7" t="s">
        <v>1063</v>
      </c>
      <c r="D66" s="16" t="n">
        <v>45</v>
      </c>
      <c r="E66" s="16" t="n">
        <f aca="false">LEN(B66)</f>
        <v>0</v>
      </c>
      <c r="F66" s="19" t="str">
        <f aca="false">IF(B66="","Missing",IF(E66&gt;D66,"Too long: "&amp;(E66-D66)&amp;" over","OK"))</f>
        <v>Missing</v>
      </c>
    </row>
    <row r="67" customFormat="false" ht="15" hidden="false" customHeight="false" outlineLevel="0" collapsed="false">
      <c r="A67" s="5" t="s">
        <v>1086</v>
      </c>
      <c r="B67" s="6"/>
      <c r="C67" s="7" t="s">
        <v>1065</v>
      </c>
      <c r="D67" s="16" t="n">
        <v>14</v>
      </c>
      <c r="E67" s="16" t="n">
        <f aca="false">LEN(B67)</f>
        <v>0</v>
      </c>
      <c r="F67" s="19" t="str">
        <f aca="false">IF(B67="","Missing",IF(E67&gt;D67,"Too long: "&amp;(E67-D67)&amp;" over","OK"))</f>
        <v>Missing</v>
      </c>
    </row>
    <row r="68" customFormat="false" ht="15" hidden="false" customHeight="false" outlineLevel="0" collapsed="false">
      <c r="A68" s="5" t="s">
        <v>1087</v>
      </c>
      <c r="B68" s="6"/>
      <c r="C68" s="7" t="s">
        <v>1067</v>
      </c>
      <c r="D68" s="16" t="n">
        <v>20</v>
      </c>
      <c r="E68" s="16" t="n">
        <f aca="false">LEN(B68)</f>
        <v>0</v>
      </c>
      <c r="F68" s="19" t="str">
        <f aca="false">IF(B68="","OK (optional)",IF(E68&gt;D68,"Too long: "&amp;(E68-D68)&amp;" over","OK"))</f>
        <v>OK (optional)</v>
      </c>
    </row>
    <row r="69" customFormat="false" ht="15" hidden="false" customHeight="false" outlineLevel="0" collapsed="false">
      <c r="A69" s="5" t="s">
        <v>1088</v>
      </c>
      <c r="B69" s="6"/>
      <c r="C69" s="7" t="s">
        <v>1089</v>
      </c>
      <c r="D69" s="16" t="n">
        <v>200</v>
      </c>
      <c r="E69" s="16" t="n">
        <f aca="false">LEN(B69)</f>
        <v>0</v>
      </c>
      <c r="F69" s="19" t="str">
        <f aca="false">IF(B69="","Missing",IF(E69&gt;D69,"Too long: "&amp;(E69-D69)&amp;" over","OK"))</f>
        <v>Missing</v>
      </c>
    </row>
    <row r="70" customFormat="false" ht="15" hidden="false" customHeight="false" outlineLevel="0" collapsed="false">
      <c r="A70" s="5" t="s">
        <v>1090</v>
      </c>
      <c r="B70" s="6"/>
      <c r="C70" s="7" t="s">
        <v>1091</v>
      </c>
      <c r="D70" s="16" t="n">
        <v>220</v>
      </c>
      <c r="E70" s="16" t="n">
        <f aca="false">LEN(B70)</f>
        <v>0</v>
      </c>
      <c r="F70" s="19" t="str">
        <f aca="false">IF(B70="","Missing",IF(E70&gt;D70,"Too long: "&amp;(E70-D70)&amp;" over","OK"))</f>
        <v>Missing</v>
      </c>
    </row>
    <row r="71" customFormat="false" ht="15" hidden="false" customHeight="false" outlineLevel="0" collapsed="false">
      <c r="A71" s="5" t="s">
        <v>1092</v>
      </c>
      <c r="B71" s="6"/>
      <c r="C71" s="7" t="s">
        <v>1054</v>
      </c>
      <c r="D71" s="16" t="n">
        <v>1000</v>
      </c>
      <c r="E71" s="16" t="n">
        <f aca="false">LEN(B71)</f>
        <v>0</v>
      </c>
      <c r="F71" s="19" t="str">
        <f aca="false">IF(B71="","Missing",IF(E71&gt;D71,"Too long: "&amp;(E71-D71)&amp;" over","OK"))</f>
        <v>Missing</v>
      </c>
    </row>
    <row r="72" customFormat="false" ht="15" hidden="false" customHeight="false" outlineLevel="0" collapsed="false">
      <c r="A72" s="5" t="s">
        <v>1093</v>
      </c>
      <c r="B72" s="6"/>
      <c r="C72" s="7" t="s">
        <v>1006</v>
      </c>
      <c r="D72" s="16" t="n">
        <v>75</v>
      </c>
      <c r="E72" s="16" t="n">
        <f aca="false">LEN(B72)</f>
        <v>0</v>
      </c>
      <c r="F72" s="19" t="str">
        <f aca="false">IF(B72="","Missing",IF(E72&gt;D72,"Too long: "&amp;(E72-D72)&amp;" over","OK"))</f>
        <v>Missing</v>
      </c>
    </row>
    <row r="73" customFormat="false" ht="15" hidden="false" customHeight="false" outlineLevel="0" collapsed="false">
      <c r="A73" s="5" t="s">
        <v>1094</v>
      </c>
      <c r="B73" s="6"/>
      <c r="C73" s="7" t="s">
        <v>1095</v>
      </c>
      <c r="D73" s="16" t="n">
        <v>60</v>
      </c>
      <c r="E73" s="16" t="n">
        <f aca="false">LEN(B73)</f>
        <v>0</v>
      </c>
      <c r="F73" s="19" t="str">
        <f aca="false">IF(B73="","Missing",IF(E73&gt;D73,"Too long: "&amp;(E73-D73)&amp;" over","OK"))</f>
        <v>Missing</v>
      </c>
    </row>
    <row r="74" customFormat="false" ht="15" hidden="false" customHeight="false" outlineLevel="0" collapsed="false">
      <c r="A74" s="5" t="s">
        <v>1096</v>
      </c>
      <c r="B74" s="6"/>
      <c r="C74" s="7" t="s">
        <v>1097</v>
      </c>
      <c r="D74" s="16" t="n">
        <v>32</v>
      </c>
      <c r="E74" s="16" t="n">
        <f aca="false">LEN(B74)</f>
        <v>0</v>
      </c>
      <c r="F74" s="19" t="str">
        <f aca="false">IF(B74="","Missing",IF(E74&gt;D74,"Too long: "&amp;(E74-D74)&amp;" over","OK"))</f>
        <v>Missing</v>
      </c>
    </row>
    <row r="75" customFormat="false" ht="15" hidden="false" customHeight="false" outlineLevel="0" collapsed="false">
      <c r="A75" s="5" t="s">
        <v>1098</v>
      </c>
      <c r="B75" s="6"/>
      <c r="C75" s="7" t="s">
        <v>1099</v>
      </c>
      <c r="D75" s="16" t="n">
        <v>3</v>
      </c>
      <c r="E75" s="16" t="n">
        <f aca="false">LEN(B75)</f>
        <v>0</v>
      </c>
      <c r="F75" s="19" t="str">
        <f aca="false">IF(B75="","Missing",IF(E75&gt;D75,"Too long: "&amp;(E75-D75)&amp;" over","OK"))</f>
        <v>Missing</v>
      </c>
    </row>
    <row r="76" customFormat="false" ht="15" hidden="false" customHeight="false" outlineLevel="0" collapsed="false">
      <c r="A76" s="5" t="s">
        <v>1100</v>
      </c>
      <c r="B76" s="6"/>
      <c r="C76" s="7" t="s">
        <v>1101</v>
      </c>
      <c r="D76" s="16" t="n">
        <v>110</v>
      </c>
      <c r="E76" s="16" t="n">
        <f aca="false">LEN(B76)</f>
        <v>0</v>
      </c>
      <c r="F76" s="19" t="str">
        <f aca="false">IF(B76="","Missing",IF(E76&gt;D76,"Too long: "&amp;(E76-D76)&amp;" over","OK"))</f>
        <v>Missing</v>
      </c>
    </row>
    <row r="77" customFormat="false" ht="15" hidden="false" customHeight="false" outlineLevel="0" collapsed="false">
      <c r="A77" s="5" t="s">
        <v>1102</v>
      </c>
      <c r="B77" s="6"/>
      <c r="C77" s="7" t="s">
        <v>1101</v>
      </c>
      <c r="D77" s="16" t="n">
        <v>110</v>
      </c>
      <c r="E77" s="16" t="n">
        <f aca="false">LEN(B77)</f>
        <v>0</v>
      </c>
      <c r="F77" s="19" t="str">
        <f aca="false">IF(B77="","Missing",IF(E77&gt;D77,"Too long: "&amp;(E77-D77)&amp;" over","OK"))</f>
        <v>Missing</v>
      </c>
    </row>
    <row r="78" customFormat="false" ht="15" hidden="false" customHeight="false" outlineLevel="0" collapsed="false">
      <c r="A78" s="5" t="s">
        <v>1103</v>
      </c>
      <c r="B78" s="6"/>
      <c r="C78" s="7" t="s">
        <v>1029</v>
      </c>
      <c r="D78" s="16" t="n">
        <v>60</v>
      </c>
      <c r="E78" s="16" t="n">
        <f aca="false">LEN(B78)</f>
        <v>0</v>
      </c>
      <c r="F78" s="19" t="str">
        <f aca="false">IF(B78="","Missing",IF(E78&gt;D78,"Too long: "&amp;(E78-D78)&amp;" over","OK"))</f>
        <v>Missing</v>
      </c>
    </row>
    <row r="79" customFormat="false" ht="15" hidden="false" customHeight="false" outlineLevel="0" collapsed="false">
      <c r="A79" s="5" t="s">
        <v>1104</v>
      </c>
      <c r="B79" s="6"/>
      <c r="C79" s="7" t="s">
        <v>1097</v>
      </c>
      <c r="D79" s="16" t="n">
        <v>32</v>
      </c>
      <c r="E79" s="16" t="n">
        <f aca="false">LEN(B79)</f>
        <v>0</v>
      </c>
      <c r="F79" s="19" t="str">
        <f aca="false">IF(B79="","Missing",IF(E79&gt;D79,"Too long: "&amp;(E79-D79)&amp;" over","OK"))</f>
        <v>Missing</v>
      </c>
    </row>
    <row r="80" customFormat="false" ht="15" hidden="false" customHeight="false" outlineLevel="0" collapsed="false">
      <c r="A80" s="5" t="s">
        <v>1105</v>
      </c>
      <c r="B80" s="6"/>
      <c r="C80" s="7" t="s">
        <v>1099</v>
      </c>
      <c r="D80" s="16" t="n">
        <v>3</v>
      </c>
      <c r="E80" s="16" t="n">
        <f aca="false">LEN(B80)</f>
        <v>0</v>
      </c>
      <c r="F80" s="19" t="str">
        <f aca="false">IF(B80="","Missing",IF(E80&gt;D80,"Too long: "&amp;(E80-D80)&amp;" over","OK"))</f>
        <v>Missing</v>
      </c>
    </row>
    <row r="81" customFormat="false" ht="15" hidden="false" customHeight="false" outlineLevel="0" collapsed="false">
      <c r="A81" s="5" t="s">
        <v>1106</v>
      </c>
      <c r="B81" s="6"/>
      <c r="C81" s="7" t="s">
        <v>1101</v>
      </c>
      <c r="D81" s="16" t="n">
        <v>110</v>
      </c>
      <c r="E81" s="16" t="n">
        <f aca="false">LEN(B81)</f>
        <v>0</v>
      </c>
      <c r="F81" s="19" t="str">
        <f aca="false">IF(B81="","Missing",IF(E81&gt;D81,"Too long: "&amp;(E81-D81)&amp;" over","OK"))</f>
        <v>Missing</v>
      </c>
    </row>
    <row r="82" customFormat="false" ht="15" hidden="false" customHeight="false" outlineLevel="0" collapsed="false">
      <c r="A82" s="5" t="s">
        <v>1107</v>
      </c>
      <c r="B82" s="6"/>
      <c r="C82" s="7" t="s">
        <v>1101</v>
      </c>
      <c r="D82" s="16" t="n">
        <v>110</v>
      </c>
      <c r="E82" s="16" t="n">
        <f aca="false">LEN(B82)</f>
        <v>0</v>
      </c>
      <c r="F82" s="19" t="str">
        <f aca="false">IF(B82="","Missing",IF(E82&gt;D82,"Too long: "&amp;(E82-D82)&amp;" over","OK"))</f>
        <v>Missing</v>
      </c>
    </row>
    <row r="83" customFormat="false" ht="15" hidden="false" customHeight="false" outlineLevel="0" collapsed="false">
      <c r="A83" s="5" t="s">
        <v>1108</v>
      </c>
      <c r="B83" s="6"/>
      <c r="C83" s="7" t="s">
        <v>1029</v>
      </c>
      <c r="D83" s="16" t="n">
        <v>60</v>
      </c>
      <c r="E83" s="16" t="n">
        <f aca="false">LEN(B83)</f>
        <v>0</v>
      </c>
      <c r="F83" s="19" t="str">
        <f aca="false">IF(B83="","Missing",IF(E83&gt;D83,"Too long: "&amp;(E83-D83)&amp;" over","OK"))</f>
        <v>Missing</v>
      </c>
    </row>
    <row r="84" customFormat="false" ht="15" hidden="false" customHeight="false" outlineLevel="0" collapsed="false">
      <c r="A84" s="5" t="s">
        <v>1109</v>
      </c>
      <c r="B84" s="6"/>
      <c r="C84" s="7" t="s">
        <v>1097</v>
      </c>
      <c r="D84" s="16" t="n">
        <v>32</v>
      </c>
      <c r="E84" s="16" t="n">
        <f aca="false">LEN(B84)</f>
        <v>0</v>
      </c>
      <c r="F84" s="19" t="str">
        <f aca="false">IF(B84="","Missing",IF(E84&gt;D84,"Too long: "&amp;(E84-D84)&amp;" over","OK"))</f>
        <v>Missing</v>
      </c>
    </row>
    <row r="85" customFormat="false" ht="15" hidden="false" customHeight="false" outlineLevel="0" collapsed="false">
      <c r="A85" s="5" t="s">
        <v>1110</v>
      </c>
      <c r="B85" s="6"/>
      <c r="C85" s="7" t="s">
        <v>1099</v>
      </c>
      <c r="D85" s="16" t="n">
        <v>3</v>
      </c>
      <c r="E85" s="16" t="n">
        <f aca="false">LEN(B85)</f>
        <v>0</v>
      </c>
      <c r="F85" s="19" t="str">
        <f aca="false">IF(B85="","Missing",IF(E85&gt;D85,"Too long: "&amp;(E85-D85)&amp;" over","OK"))</f>
        <v>Missing</v>
      </c>
    </row>
    <row r="86" customFormat="false" ht="15" hidden="false" customHeight="false" outlineLevel="0" collapsed="false">
      <c r="A86" s="5" t="s">
        <v>1111</v>
      </c>
      <c r="B86" s="6"/>
      <c r="C86" s="7" t="s">
        <v>1101</v>
      </c>
      <c r="D86" s="16" t="n">
        <v>110</v>
      </c>
      <c r="E86" s="16" t="n">
        <f aca="false">LEN(B86)</f>
        <v>0</v>
      </c>
      <c r="F86" s="19" t="str">
        <f aca="false">IF(B86="","Missing",IF(E86&gt;D86,"Too long: "&amp;(E86-D86)&amp;" over","OK"))</f>
        <v>Missing</v>
      </c>
    </row>
    <row r="87" customFormat="false" ht="15" hidden="false" customHeight="false" outlineLevel="0" collapsed="false">
      <c r="A87" s="5" t="s">
        <v>1112</v>
      </c>
      <c r="B87" s="6"/>
      <c r="C87" s="7" t="s">
        <v>1101</v>
      </c>
      <c r="D87" s="16" t="n">
        <v>110</v>
      </c>
      <c r="E87" s="16" t="n">
        <f aca="false">LEN(B87)</f>
        <v>0</v>
      </c>
      <c r="F87" s="19" t="str">
        <f aca="false">IF(B87="","Missing",IF(E87&gt;D87,"Too long: "&amp;(E87-D87)&amp;" over","OK"))</f>
        <v>Missing</v>
      </c>
    </row>
    <row r="88" customFormat="false" ht="15" hidden="false" customHeight="false" outlineLevel="0" collapsed="false">
      <c r="A88" s="5" t="s">
        <v>1113</v>
      </c>
      <c r="B88" s="6"/>
      <c r="C88" s="7" t="s">
        <v>1029</v>
      </c>
      <c r="D88" s="16" t="n">
        <v>60</v>
      </c>
      <c r="E88" s="16" t="n">
        <f aca="false">LEN(B88)</f>
        <v>0</v>
      </c>
      <c r="F88" s="19" t="str">
        <f aca="false">IF(B88="","Missing",IF(E88&gt;D88,"Too long: "&amp;(E88-D88)&amp;" over","OK"))</f>
        <v>Missing</v>
      </c>
    </row>
    <row r="89" customFormat="false" ht="15" hidden="false" customHeight="false" outlineLevel="0" collapsed="false">
      <c r="A89" s="5" t="s">
        <v>1114</v>
      </c>
      <c r="B89" s="6"/>
      <c r="C89" s="7" t="s">
        <v>1097</v>
      </c>
      <c r="D89" s="16" t="n">
        <v>32</v>
      </c>
      <c r="E89" s="16" t="n">
        <f aca="false">LEN(B89)</f>
        <v>0</v>
      </c>
      <c r="F89" s="19" t="str">
        <f aca="false">IF(B89="","Missing",IF(E89&gt;D89,"Too long: "&amp;(E89-D89)&amp;" over","OK"))</f>
        <v>Missing</v>
      </c>
    </row>
    <row r="90" customFormat="false" ht="15" hidden="false" customHeight="false" outlineLevel="0" collapsed="false">
      <c r="A90" s="5" t="s">
        <v>1115</v>
      </c>
      <c r="B90" s="6"/>
      <c r="C90" s="7" t="s">
        <v>1099</v>
      </c>
      <c r="D90" s="16" t="n">
        <v>3</v>
      </c>
      <c r="E90" s="16" t="n">
        <f aca="false">LEN(B90)</f>
        <v>0</v>
      </c>
      <c r="F90" s="19" t="str">
        <f aca="false">IF(B90="","Missing",IF(E90&gt;D90,"Too long: "&amp;(E90-D90)&amp;" over","OK"))</f>
        <v>Missing</v>
      </c>
    </row>
    <row r="91" customFormat="false" ht="15" hidden="false" customHeight="false" outlineLevel="0" collapsed="false">
      <c r="A91" s="5" t="s">
        <v>1116</v>
      </c>
      <c r="B91" s="6"/>
      <c r="C91" s="7" t="s">
        <v>1101</v>
      </c>
      <c r="D91" s="16" t="n">
        <v>110</v>
      </c>
      <c r="E91" s="16" t="n">
        <f aca="false">LEN(B91)</f>
        <v>0</v>
      </c>
      <c r="F91" s="19" t="str">
        <f aca="false">IF(B91="","Missing",IF(E91&gt;D91,"Too long: "&amp;(E91-D91)&amp;" over","OK"))</f>
        <v>Missing</v>
      </c>
    </row>
    <row r="92" customFormat="false" ht="15" hidden="false" customHeight="false" outlineLevel="0" collapsed="false">
      <c r="A92" s="5" t="s">
        <v>1117</v>
      </c>
      <c r="B92" s="6"/>
      <c r="C92" s="7" t="s">
        <v>1101</v>
      </c>
      <c r="D92" s="16" t="n">
        <v>110</v>
      </c>
      <c r="E92" s="16" t="n">
        <f aca="false">LEN(B92)</f>
        <v>0</v>
      </c>
      <c r="F92" s="19" t="str">
        <f aca="false">IF(B92="","Missing",IF(E92&gt;D92,"Too long: "&amp;(E92-D92)&amp;" over","OK"))</f>
        <v>Missing</v>
      </c>
    </row>
    <row r="93" customFormat="false" ht="15" hidden="false" customHeight="false" outlineLevel="0" collapsed="false">
      <c r="A93" s="5" t="s">
        <v>1118</v>
      </c>
      <c r="B93" s="6"/>
      <c r="C93" s="7" t="s">
        <v>1029</v>
      </c>
      <c r="D93" s="16" t="n">
        <v>60</v>
      </c>
      <c r="E93" s="16" t="n">
        <f aca="false">LEN(B93)</f>
        <v>0</v>
      </c>
      <c r="F93" s="19" t="str">
        <f aca="false">IF(B93="","Missing",IF(E93&gt;D93,"Too long: "&amp;(E93-D93)&amp;" over","OK"))</f>
        <v>Missing</v>
      </c>
    </row>
    <row r="94" customFormat="false" ht="15" hidden="false" customHeight="false" outlineLevel="0" collapsed="false">
      <c r="A94" s="5" t="s">
        <v>1119</v>
      </c>
      <c r="B94" s="6"/>
      <c r="C94" s="7" t="s">
        <v>1120</v>
      </c>
      <c r="D94" s="16" t="n">
        <v>120</v>
      </c>
      <c r="E94" s="16" t="n">
        <f aca="false">LEN(B94)</f>
        <v>0</v>
      </c>
      <c r="F94" s="19" t="str">
        <f aca="false">IF(B94="","Missing",IF(E94&gt;D94,"Too long: "&amp;(E94-D94)&amp;" over","OK"))</f>
        <v>Missing</v>
      </c>
    </row>
    <row r="95" customFormat="false" ht="15" hidden="false" customHeight="false" outlineLevel="0" collapsed="false">
      <c r="A95" s="5" t="s">
        <v>1121</v>
      </c>
      <c r="B95" s="6"/>
      <c r="C95" s="7" t="s">
        <v>1122</v>
      </c>
      <c r="D95" s="16" t="n">
        <v>80</v>
      </c>
      <c r="E95" s="16" t="n">
        <f aca="false">LEN(B95)</f>
        <v>0</v>
      </c>
      <c r="F95" s="19" t="str">
        <f aca="false">IF(B95="","Missing",IF(E95&gt;D95,"Too long: "&amp;(E95-D95)&amp;" over","OK"))</f>
        <v>Missing</v>
      </c>
    </row>
    <row r="96" customFormat="false" ht="15" hidden="false" customHeight="false" outlineLevel="0" collapsed="false">
      <c r="A96" s="5" t="s">
        <v>1123</v>
      </c>
      <c r="B96" s="6"/>
      <c r="C96" s="7" t="s">
        <v>1122</v>
      </c>
      <c r="D96" s="16" t="n">
        <v>80</v>
      </c>
      <c r="E96" s="16" t="n">
        <f aca="false">LEN(B96)</f>
        <v>0</v>
      </c>
      <c r="F96" s="19" t="str">
        <f aca="false">IF(B96="","Missing",IF(E96&gt;D96,"Too long: "&amp;(E96-D96)&amp;" over","OK"))</f>
        <v>Missing</v>
      </c>
    </row>
    <row r="97" customFormat="false" ht="15" hidden="false" customHeight="false" outlineLevel="0" collapsed="false">
      <c r="A97" s="5" t="s">
        <v>1124</v>
      </c>
      <c r="B97" s="6"/>
      <c r="C97" s="7" t="s">
        <v>1122</v>
      </c>
      <c r="D97" s="16" t="n">
        <v>80</v>
      </c>
      <c r="E97" s="16" t="n">
        <f aca="false">LEN(B97)</f>
        <v>0</v>
      </c>
      <c r="F97" s="19" t="str">
        <f aca="false">IF(B97="","Missing",IF(E97&gt;D97,"Too long: "&amp;(E97-D97)&amp;" over","OK"))</f>
        <v>Missing</v>
      </c>
    </row>
    <row r="98" customFormat="false" ht="15" hidden="false" customHeight="false" outlineLevel="0" collapsed="false">
      <c r="A98" s="5" t="s">
        <v>1125</v>
      </c>
      <c r="B98" s="6"/>
      <c r="C98" s="7" t="s">
        <v>1126</v>
      </c>
      <c r="D98" s="16" t="n">
        <v>140</v>
      </c>
      <c r="E98" s="16" t="n">
        <f aca="false">LEN(B98)</f>
        <v>0</v>
      </c>
      <c r="F98" s="19" t="str">
        <f aca="false">IF(B98="","Missing",IF(E98&gt;D98,"Too long: "&amp;(E98-D98)&amp;" over","OK"))</f>
        <v>Missing</v>
      </c>
    </row>
    <row r="99" customFormat="false" ht="15" hidden="false" customHeight="false" outlineLevel="0" collapsed="false">
      <c r="A99" s="5" t="s">
        <v>1127</v>
      </c>
      <c r="B99" s="6"/>
      <c r="C99" s="7" t="s">
        <v>1054</v>
      </c>
      <c r="D99" s="16" t="n">
        <v>1000</v>
      </c>
      <c r="E99" s="16" t="n">
        <f aca="false">LEN(B99)</f>
        <v>0</v>
      </c>
      <c r="F99" s="19" t="str">
        <f aca="false">IF(B99="","Missing",IF(E99&gt;D99,"Too long: "&amp;(E99-D99)&amp;" over","OK"))</f>
        <v>Missing</v>
      </c>
    </row>
  </sheetData>
  <conditionalFormatting sqref="F5:F99">
    <cfRule type="expression" priority="2" aboveAverage="0" equalAverage="0" bottom="0" percent="0" rank="0" text="" dxfId="0">
      <formula>OR(LEFT(F5,3)="Too",F5="Missing")</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10"/>
  </cols>
  <sheetData>
    <row r="1" customFormat="false" ht="17.35" hidden="false" customHeight="false" outlineLevel="0" collapsed="false">
      <c r="A1" s="1" t="s">
        <v>1128</v>
      </c>
    </row>
    <row r="2" customFormat="false" ht="15" hidden="false" customHeight="false" outlineLevel="0" collapsed="false">
      <c r="A2" s="10" t="s">
        <v>1129</v>
      </c>
    </row>
    <row r="3" customFormat="false" ht="23.85" hidden="false" customHeight="false" outlineLevel="0" collapsed="false">
      <c r="A3" s="5" t="s">
        <v>1130</v>
      </c>
      <c r="B3" s="16" t="n">
        <f aca="false">MIN(9,COUNTIF(Scoring!$K$5:$K$19,"High")+COUNTIF(Scoring!$K$5:$K$19,"Medium"))</f>
        <v>0</v>
      </c>
    </row>
    <row r="4" customFormat="false" ht="15" hidden="false" customHeight="false" outlineLevel="0" collapsed="false">
      <c r="A4" s="4" t="s">
        <v>1131</v>
      </c>
      <c r="B4" s="4" t="s">
        <v>15</v>
      </c>
    </row>
    <row r="5" customFormat="false" ht="15" hidden="false" customHeight="false" outlineLevel="0" collapsed="false">
      <c r="A5" s="5" t="s">
        <v>1132</v>
      </c>
      <c r="B5" s="8" t="str">
        <f aca="false">IF(Slide_Content!$B$5="","",Slide_Content!$B$5)</f>
        <v/>
      </c>
    </row>
    <row r="6" customFormat="false" ht="15" hidden="false" customHeight="false" outlineLevel="0" collapsed="false">
      <c r="A6" s="5" t="s">
        <v>1133</v>
      </c>
      <c r="B6" s="8" t="str">
        <f aca="false">IF(Slide_Content!$B$6="","",Slide_Content!$B$6)</f>
        <v/>
      </c>
    </row>
    <row r="7" customFormat="false" ht="15" hidden="false" customHeight="false" outlineLevel="0" collapsed="false">
      <c r="A7" s="5" t="s">
        <v>1134</v>
      </c>
      <c r="B7" s="8" t="str">
        <f aca="false">IF(Slide_Content!$B$7="","",Slide_Content!$B$7)</f>
        <v/>
      </c>
    </row>
    <row r="8" customFormat="false" ht="15" hidden="false" customHeight="false" outlineLevel="0" collapsed="false">
      <c r="A8" s="5" t="s">
        <v>1135</v>
      </c>
      <c r="B8" s="8" t="str">
        <f aca="false">IF(Slide_Content!$B$8="","",Slide_Content!$B$8)</f>
        <v/>
      </c>
    </row>
    <row r="9" customFormat="false" ht="15" hidden="false" customHeight="false" outlineLevel="0" collapsed="false">
      <c r="A9" s="5" t="s">
        <v>1136</v>
      </c>
      <c r="B9" s="8" t="str">
        <f aca="false">IF(Slide_Content!$B$9="","",Slide_Content!$B$9)</f>
        <v/>
      </c>
    </row>
    <row r="10" customFormat="false" ht="15" hidden="false" customHeight="false" outlineLevel="0" collapsed="false">
      <c r="A10" s="5" t="s">
        <v>1137</v>
      </c>
      <c r="B10" s="8" t="str">
        <f aca="false">IF(Slide_Content!$B$10="","",Slide_Content!$B$10)</f>
        <v/>
      </c>
    </row>
    <row r="11" customFormat="false" ht="15" hidden="false" customHeight="false" outlineLevel="0" collapsed="false">
      <c r="A11" s="5" t="s">
        <v>1138</v>
      </c>
      <c r="B11" s="8" t="str">
        <f aca="false">IF(Slide_Content!$B$11="","",Slide_Content!$B$11)</f>
        <v/>
      </c>
    </row>
    <row r="12" customFormat="false" ht="15" hidden="false" customHeight="false" outlineLevel="0" collapsed="false">
      <c r="A12" s="5" t="s">
        <v>1139</v>
      </c>
      <c r="B12" s="8" t="str">
        <f aca="false">IF(Slide_Content!$B$12="",TEXT(SUM(Taxonomy!$G$5:$G$19),"0"),Slide_Content!$B$12)</f>
        <v>34</v>
      </c>
    </row>
    <row r="13" customFormat="false" ht="15" hidden="false" customHeight="false" outlineLevel="0" collapsed="false">
      <c r="A13" s="5" t="s">
        <v>1140</v>
      </c>
      <c r="B13" s="8" t="str">
        <f aca="false">IF(Slide_Content!$B$13="",Inputs!$B$7&amp;" NBSAP commitments worth c.$"&amp;TEXT(SUM(Taxonomy!$H$5:$H$19),"0")&amp;"bn (indicative)",Slide_Content!$B$13)</f>
        <v>United Kingdom NBSAP commitments worth c.$79bn (indicative)</v>
      </c>
    </row>
    <row r="14" customFormat="false" ht="15" hidden="false" customHeight="false" outlineLevel="0" collapsed="false">
      <c r="A14" s="5" t="s">
        <v>1141</v>
      </c>
      <c r="B14" s="8" t="str">
        <f aca="false">IF(Slide_Content!$B$14="","",Slide_Content!$B$14)</f>
        <v/>
      </c>
    </row>
    <row r="15" customFormat="false" ht="15" hidden="false" customHeight="false" outlineLevel="0" collapsed="false">
      <c r="A15" s="5" t="s">
        <v>1142</v>
      </c>
      <c r="B15" s="8" t="str">
        <f aca="false">IF(Slide_Content!$B$15="","",Slide_Content!$B$15)</f>
        <v/>
      </c>
    </row>
    <row r="16" customFormat="false" ht="15" hidden="false" customHeight="false" outlineLevel="0" collapsed="false">
      <c r="A16" s="5" t="s">
        <v>1143</v>
      </c>
      <c r="B16" s="8" t="str">
        <f aca="false">IF(Slide_Content!$B$16="","",Slide_Content!$B$16)</f>
        <v/>
      </c>
    </row>
    <row r="17" customFormat="false" ht="15" hidden="false" customHeight="false" outlineLevel="0" collapsed="false">
      <c r="A17" s="5" t="s">
        <v>1144</v>
      </c>
      <c r="B17" s="8" t="str">
        <f aca="false">IF(Slide_Content!$B$17="","",Slide_Content!$B$17)</f>
        <v/>
      </c>
    </row>
    <row r="18" customFormat="false" ht="15" hidden="false" customHeight="false" outlineLevel="0" collapsed="false">
      <c r="A18" s="5" t="s">
        <v>1145</v>
      </c>
      <c r="B18" s="8" t="str">
        <f aca="false">IF(Slide_Content!$B$18="","",Slide_Content!$B$18)</f>
        <v/>
      </c>
    </row>
    <row r="19" customFormat="false" ht="15" hidden="false" customHeight="false" outlineLevel="0" collapsed="false">
      <c r="A19" s="5" t="s">
        <v>1146</v>
      </c>
      <c r="B19" s="8" t="str">
        <f aca="false">IF(Slide_Content!$B$19="","",Slide_Content!$B$19)</f>
        <v/>
      </c>
    </row>
    <row r="20" customFormat="false" ht="15" hidden="false" customHeight="false" outlineLevel="0" collapsed="false">
      <c r="A20" s="5" t="s">
        <v>1147</v>
      </c>
      <c r="B20" s="8" t="str">
        <f aca="false">IF(Slide_Content!$B$20="","",Slide_Content!$B$20)</f>
        <v/>
      </c>
    </row>
    <row r="21" customFormat="false" ht="15" hidden="false" customHeight="false" outlineLevel="0" collapsed="false">
      <c r="A21" s="5" t="s">
        <v>1148</v>
      </c>
      <c r="B21" s="8" t="str">
        <f aca="false">IF(Slide_Content!$B$21="","",Slide_Content!$B$21)</f>
        <v/>
      </c>
    </row>
    <row r="22" customFormat="false" ht="15" hidden="false" customHeight="false" outlineLevel="0" collapsed="false">
      <c r="A22" s="5" t="s">
        <v>1149</v>
      </c>
      <c r="B22" s="8" t="str">
        <f aca="false">IF(Slide_Content!$B$22="","",Slide_Content!$B$22)</f>
        <v/>
      </c>
    </row>
    <row r="23" customFormat="false" ht="15" hidden="false" customHeight="false" outlineLevel="0" collapsed="false">
      <c r="A23" s="5" t="s">
        <v>1150</v>
      </c>
      <c r="B23" s="8" t="str">
        <f aca="false">IF(Slide_Content!$B$23="","",Slide_Content!$B$23)</f>
        <v/>
      </c>
    </row>
    <row r="24" customFormat="false" ht="15" hidden="false" customHeight="false" outlineLevel="0" collapsed="false">
      <c r="A24" s="5" t="s">
        <v>1151</v>
      </c>
      <c r="B24" s="8" t="str">
        <f aca="false">IF(Slide_Content!$B$24="","",Slide_Content!$B$24)</f>
        <v/>
      </c>
    </row>
    <row r="25" customFormat="false" ht="15" hidden="false" customHeight="false" outlineLevel="0" collapsed="false">
      <c r="A25" s="5" t="s">
        <v>1152</v>
      </c>
      <c r="B25" s="8" t="str">
        <f aca="false">IF(Slide_Content!$B$25="","",Slide_Content!$B$25)</f>
        <v/>
      </c>
    </row>
    <row r="26" customFormat="false" ht="15" hidden="false" customHeight="false" outlineLevel="0" collapsed="false">
      <c r="A26" s="5" t="s">
        <v>1153</v>
      </c>
      <c r="B26" s="8" t="str">
        <f aca="false">IF(Slide_Content!$B$26="","",Slide_Content!$B$26)</f>
        <v/>
      </c>
    </row>
    <row r="27" customFormat="false" ht="15" hidden="false" customHeight="false" outlineLevel="0" collapsed="false">
      <c r="A27" s="5" t="s">
        <v>1154</v>
      </c>
      <c r="B27" s="8" t="str">
        <f aca="false">IF(Slide_Content!$B$27="","",Slide_Content!$B$27)</f>
        <v/>
      </c>
    </row>
    <row r="28" customFormat="false" ht="15" hidden="false" customHeight="false" outlineLevel="0" collapsed="false">
      <c r="A28" s="5" t="s">
        <v>1155</v>
      </c>
      <c r="B28" s="8" t="str">
        <f aca="false">IF(Slide_Content!$B$28="","",Slide_Content!$B$28)</f>
        <v/>
      </c>
    </row>
    <row r="29" customFormat="false" ht="15" hidden="false" customHeight="false" outlineLevel="0" collapsed="false">
      <c r="A29" s="5" t="s">
        <v>1156</v>
      </c>
      <c r="B29" s="8" t="str">
        <f aca="false">IF(Slide_Content!$B$29="","",Slide_Content!$B$29)</f>
        <v/>
      </c>
    </row>
    <row r="30" customFormat="false" ht="15" hidden="false" customHeight="false" outlineLevel="0" collapsed="false">
      <c r="A30" s="5" t="s">
        <v>1157</v>
      </c>
      <c r="B30" s="8" t="str">
        <f aca="false">IF(Slide_Content!$B$30="","",Slide_Content!$B$30)</f>
        <v/>
      </c>
    </row>
    <row r="31" customFormat="false" ht="15" hidden="false" customHeight="false" outlineLevel="0" collapsed="false">
      <c r="A31" s="5" t="s">
        <v>1158</v>
      </c>
      <c r="B31" s="8" t="str">
        <f aca="false">IF(Slide_Content!$B$31="","",Slide_Content!$B$31)</f>
        <v/>
      </c>
    </row>
    <row r="32" customFormat="false" ht="15" hidden="false" customHeight="false" outlineLevel="0" collapsed="false">
      <c r="A32" s="5" t="s">
        <v>1159</v>
      </c>
      <c r="B32" s="8" t="str">
        <f aca="false">IF(Slide_Content!$B$32="","",Slide_Content!$B$32)</f>
        <v/>
      </c>
    </row>
    <row r="33" customFormat="false" ht="15" hidden="false" customHeight="false" outlineLevel="0" collapsed="false">
      <c r="A33" s="5" t="s">
        <v>1160</v>
      </c>
      <c r="B33" s="8" t="str">
        <f aca="false">IF(Slide_Content!$B$33="","",Slide_Content!$B$33)</f>
        <v/>
      </c>
    </row>
    <row r="34" customFormat="false" ht="15" hidden="false" customHeight="false" outlineLevel="0" collapsed="false">
      <c r="A34" s="5" t="s">
        <v>1161</v>
      </c>
      <c r="B34" s="8" t="str">
        <f aca="false">IF(Slide_Content!$B$34="","",Slide_Content!$B$34)</f>
        <v/>
      </c>
    </row>
    <row r="35" customFormat="false" ht="15" hidden="false" customHeight="false" outlineLevel="0" collapsed="false">
      <c r="A35" s="5" t="s">
        <v>1162</v>
      </c>
      <c r="B35" s="8" t="str">
        <f aca="false">IF(Slide_Content!$B$35="","",Slide_Content!$B$35)</f>
        <v/>
      </c>
    </row>
    <row r="36" customFormat="false" ht="15" hidden="false" customHeight="false" outlineLevel="0" collapsed="false">
      <c r="A36" s="5" t="s">
        <v>1163</v>
      </c>
      <c r="B36" s="8" t="str">
        <f aca="false">IF(Slide_Content!$B$36="","",Slide_Content!$B$36)</f>
        <v/>
      </c>
    </row>
    <row r="37" customFormat="false" ht="15" hidden="false" customHeight="false" outlineLevel="0" collapsed="false">
      <c r="A37" s="5" t="s">
        <v>1164</v>
      </c>
      <c r="B37" s="8" t="str">
        <f aca="false">IF(Slide_Content!$B$37="","",Slide_Content!$B$37)</f>
        <v/>
      </c>
    </row>
    <row r="38" customFormat="false" ht="15" hidden="false" customHeight="false" outlineLevel="0" collapsed="false">
      <c r="A38" s="5" t="s">
        <v>1165</v>
      </c>
      <c r="B38" s="8" t="str">
        <f aca="false">IF(Slide_Content!$B$38="","",Slide_Content!$B$38)</f>
        <v/>
      </c>
    </row>
    <row r="39" customFormat="false" ht="15" hidden="false" customHeight="false" outlineLevel="0" collapsed="false">
      <c r="A39" s="5" t="s">
        <v>1166</v>
      </c>
      <c r="B39" s="8" t="str">
        <f aca="false">IF(Slide_Content!$B$39="","",Slide_Content!$B$39)</f>
        <v/>
      </c>
    </row>
    <row r="40" customFormat="false" ht="15" hidden="false" customHeight="false" outlineLevel="0" collapsed="false">
      <c r="A40" s="5" t="s">
        <v>1167</v>
      </c>
      <c r="B40" s="8" t="str">
        <f aca="false">IF(Slide_Content!$B$40="","",Slide_Content!$B$40)</f>
        <v/>
      </c>
    </row>
    <row r="41" customFormat="false" ht="15" hidden="false" customHeight="false" outlineLevel="0" collapsed="false">
      <c r="A41" s="5" t="s">
        <v>1168</v>
      </c>
      <c r="B41" s="8" t="str">
        <f aca="false">IF(Slide_Content!$B$41="","",Slide_Content!$B$41)</f>
        <v/>
      </c>
    </row>
    <row r="42" customFormat="false" ht="15" hidden="false" customHeight="false" outlineLevel="0" collapsed="false">
      <c r="A42" s="5" t="s">
        <v>1169</v>
      </c>
      <c r="B42" s="8" t="str">
        <f aca="false">IF(Slide_Content!$B$42="","",Slide_Content!$B$42)</f>
        <v/>
      </c>
    </row>
    <row r="43" customFormat="false" ht="15" hidden="false" customHeight="false" outlineLevel="0" collapsed="false">
      <c r="A43" s="5" t="s">
        <v>1170</v>
      </c>
      <c r="B43" s="8" t="str">
        <f aca="false">IF(Slide_Content!$B$43="","",Slide_Content!$B$43)</f>
        <v/>
      </c>
    </row>
    <row r="44" customFormat="false" ht="15" hidden="false" customHeight="false" outlineLevel="0" collapsed="false">
      <c r="A44" s="5" t="s">
        <v>1171</v>
      </c>
      <c r="B44" s="8" t="str">
        <f aca="false">IF(Slide_Content!$B$44="","",Slide_Content!$B$44)</f>
        <v/>
      </c>
    </row>
    <row r="45" customFormat="false" ht="15" hidden="false" customHeight="false" outlineLevel="0" collapsed="false">
      <c r="A45" s="5" t="s">
        <v>1172</v>
      </c>
      <c r="B45" s="8" t="str">
        <f aca="false">IF(Slide_Content!$B$45="","",Slide_Content!$B$45)</f>
        <v/>
      </c>
    </row>
    <row r="46" customFormat="false" ht="15" hidden="false" customHeight="false" outlineLevel="0" collapsed="false">
      <c r="A46" s="5" t="s">
        <v>1173</v>
      </c>
      <c r="B46" s="8" t="str">
        <f aca="false">IF(Slide_Content!$B$46="","",Slide_Content!$B$46)</f>
        <v/>
      </c>
    </row>
    <row r="47" customFormat="false" ht="15" hidden="false" customHeight="false" outlineLevel="0" collapsed="false">
      <c r="A47" s="5" t="s">
        <v>1174</v>
      </c>
      <c r="B47" s="8" t="str">
        <f aca="false">IF(Slide_Content!$B$47="","",Slide_Content!$B$47)</f>
        <v/>
      </c>
    </row>
    <row r="48" customFormat="false" ht="15" hidden="false" customHeight="false" outlineLevel="0" collapsed="false">
      <c r="A48" s="5" t="s">
        <v>1175</v>
      </c>
      <c r="B48" s="8" t="str">
        <f aca="false">IF(Slide_Content!$B$48="","",Slide_Content!$B$48)</f>
        <v/>
      </c>
    </row>
    <row r="49" customFormat="false" ht="15" hidden="false" customHeight="false" outlineLevel="0" collapsed="false">
      <c r="A49" s="5" t="s">
        <v>1176</v>
      </c>
      <c r="B49" s="8" t="str">
        <f aca="false">IF(Slide_Content!$B$49="","",Slide_Content!$B$49)</f>
        <v/>
      </c>
    </row>
    <row r="50" customFormat="false" ht="15" hidden="false" customHeight="false" outlineLevel="0" collapsed="false">
      <c r="A50" s="5" t="s">
        <v>1177</v>
      </c>
      <c r="B50" s="8" t="str">
        <f aca="false">IF(Slide_Content!$B$50="","",Slide_Content!$B$50)</f>
        <v/>
      </c>
    </row>
    <row r="51" customFormat="false" ht="15" hidden="false" customHeight="false" outlineLevel="0" collapsed="false">
      <c r="A51" s="5" t="s">
        <v>1178</v>
      </c>
      <c r="B51" s="8" t="str">
        <f aca="false">IF(Slide_Content!$B$51="","",Slide_Content!$B$51)</f>
        <v/>
      </c>
    </row>
    <row r="52" customFormat="false" ht="15" hidden="false" customHeight="false" outlineLevel="0" collapsed="false">
      <c r="A52" s="5" t="s">
        <v>1179</v>
      </c>
      <c r="B52" s="8" t="str">
        <f aca="false">IF(Slide_Content!$B$52="","",Slide_Content!$B$52)</f>
        <v/>
      </c>
    </row>
    <row r="53" customFormat="false" ht="15" hidden="false" customHeight="false" outlineLevel="0" collapsed="false">
      <c r="A53" s="5" t="s">
        <v>1180</v>
      </c>
      <c r="B53" s="8" t="str">
        <f aca="false">IF(Slide_Content!$B$53="","",Slide_Content!$B$53)</f>
        <v/>
      </c>
    </row>
    <row r="54" customFormat="false" ht="15" hidden="false" customHeight="false" outlineLevel="0" collapsed="false">
      <c r="A54" s="5" t="s">
        <v>1181</v>
      </c>
      <c r="B54" s="8" t="str">
        <f aca="false">IF(Slide_Content!$B$54="","",Slide_Content!$B$54)</f>
        <v/>
      </c>
    </row>
    <row r="55" customFormat="false" ht="15" hidden="false" customHeight="false" outlineLevel="0" collapsed="false">
      <c r="A55" s="5" t="s">
        <v>1182</v>
      </c>
      <c r="B55" s="8" t="str">
        <f aca="false">IF(Slide_Content!$B$55="","",Slide_Content!$B$55)</f>
        <v/>
      </c>
    </row>
    <row r="56" customFormat="false" ht="15" hidden="false" customHeight="false" outlineLevel="0" collapsed="false">
      <c r="A56" s="5" t="s">
        <v>1183</v>
      </c>
      <c r="B56" s="8" t="str">
        <f aca="false">IF(Slide_Content!$B$56="","",Slide_Content!$B$56)</f>
        <v/>
      </c>
    </row>
    <row r="57" customFormat="false" ht="15" hidden="false" customHeight="false" outlineLevel="0" collapsed="false">
      <c r="A57" s="5" t="s">
        <v>1184</v>
      </c>
      <c r="B57" s="8" t="str">
        <f aca="false">IF(Slide_Content!$B$57="","",Slide_Content!$B$57)</f>
        <v/>
      </c>
    </row>
    <row r="58" customFormat="false" ht="15" hidden="false" customHeight="false" outlineLevel="0" collapsed="false">
      <c r="A58" s="5" t="s">
        <v>1185</v>
      </c>
      <c r="B58" s="8" t="str">
        <f aca="false">IF(Slide_Content!$B$58="","",Slide_Content!$B$58)</f>
        <v/>
      </c>
    </row>
    <row r="59" customFormat="false" ht="15" hidden="false" customHeight="false" outlineLevel="0" collapsed="false">
      <c r="A59" s="5" t="s">
        <v>1186</v>
      </c>
      <c r="B59" s="8" t="str">
        <f aca="false">IF(Slide_Content!$B$59="","",Slide_Content!$B$59)</f>
        <v/>
      </c>
    </row>
    <row r="60" customFormat="false" ht="15" hidden="false" customHeight="false" outlineLevel="0" collapsed="false">
      <c r="A60" s="5" t="s">
        <v>1187</v>
      </c>
      <c r="B60" s="8" t="str">
        <f aca="false">IF(Slide_Content!$B$60="","",Slide_Content!$B$60)</f>
        <v/>
      </c>
    </row>
    <row r="61" customFormat="false" ht="15" hidden="false" customHeight="false" outlineLevel="0" collapsed="false">
      <c r="A61" s="5" t="s">
        <v>1188</v>
      </c>
      <c r="B61" s="8" t="str">
        <f aca="false">IF(Slide_Content!$B$61="","",Slide_Content!$B$61)</f>
        <v/>
      </c>
    </row>
    <row r="62" customFormat="false" ht="15" hidden="false" customHeight="false" outlineLevel="0" collapsed="false">
      <c r="A62" s="5" t="s">
        <v>1189</v>
      </c>
      <c r="B62" s="8" t="str">
        <f aca="false">IF(Slide_Content!$B$62="","",Slide_Content!$B$62)</f>
        <v/>
      </c>
    </row>
    <row r="63" customFormat="false" ht="15" hidden="false" customHeight="false" outlineLevel="0" collapsed="false">
      <c r="A63" s="5" t="s">
        <v>1190</v>
      </c>
      <c r="B63" s="8" t="str">
        <f aca="false">IF(Slide_Content!$B$63="","",Slide_Content!$B$63)</f>
        <v/>
      </c>
    </row>
    <row r="64" customFormat="false" ht="15" hidden="false" customHeight="false" outlineLevel="0" collapsed="false">
      <c r="A64" s="5" t="s">
        <v>1191</v>
      </c>
      <c r="B64" s="8" t="str">
        <f aca="false">IF(Slide_Content!$B$64="","",Slide_Content!$B$64)</f>
        <v/>
      </c>
    </row>
    <row r="65" customFormat="false" ht="15" hidden="false" customHeight="false" outlineLevel="0" collapsed="false">
      <c r="A65" s="5" t="s">
        <v>1192</v>
      </c>
      <c r="B65" s="8" t="str">
        <f aca="false">IF(Slide_Content!$B$65="","",Slide_Content!$B$65)</f>
        <v/>
      </c>
    </row>
    <row r="66" customFormat="false" ht="15" hidden="false" customHeight="false" outlineLevel="0" collapsed="false">
      <c r="A66" s="5" t="s">
        <v>1193</v>
      </c>
      <c r="B66" s="8" t="str">
        <f aca="false">IF(Slide_Content!$B$66="","",Slide_Content!$B$66)</f>
        <v/>
      </c>
    </row>
    <row r="67" customFormat="false" ht="15" hidden="false" customHeight="false" outlineLevel="0" collapsed="false">
      <c r="A67" s="5" t="s">
        <v>1194</v>
      </c>
      <c r="B67" s="8" t="str">
        <f aca="false">IF(Slide_Content!$B$67="","",Slide_Content!$B$67)</f>
        <v/>
      </c>
    </row>
    <row r="68" customFormat="false" ht="15" hidden="false" customHeight="false" outlineLevel="0" collapsed="false">
      <c r="A68" s="5" t="s">
        <v>1195</v>
      </c>
      <c r="B68" s="8" t="str">
        <f aca="false">IF(Slide_Content!$B$68="","",Slide_Content!$B$68)</f>
        <v/>
      </c>
    </row>
    <row r="69" customFormat="false" ht="15" hidden="false" customHeight="false" outlineLevel="0" collapsed="false">
      <c r="A69" s="5" t="s">
        <v>1196</v>
      </c>
      <c r="B69" s="8" t="str">
        <f aca="false">IF(Slide_Content!$B$69="","",Slide_Content!$B$69)</f>
        <v/>
      </c>
    </row>
    <row r="70" customFormat="false" ht="15" hidden="false" customHeight="false" outlineLevel="0" collapsed="false">
      <c r="A70" s="5" t="s">
        <v>1197</v>
      </c>
      <c r="B70" s="8" t="str">
        <f aca="false">IF(Slide_Content!$B$70="","",Slide_Content!$B$70)</f>
        <v/>
      </c>
    </row>
    <row r="71" customFormat="false" ht="15" hidden="false" customHeight="false" outlineLevel="0" collapsed="false">
      <c r="A71" s="5" t="s">
        <v>1198</v>
      </c>
      <c r="B71" s="8" t="str">
        <f aca="false">IF(Slide_Content!$B$71="","",Slide_Content!$B$71)</f>
        <v/>
      </c>
    </row>
    <row r="72" customFormat="false" ht="15" hidden="false" customHeight="false" outlineLevel="0" collapsed="false">
      <c r="A72" s="5" t="s">
        <v>1199</v>
      </c>
      <c r="B72" s="8" t="str">
        <f aca="false">IF(Slide_Content!$B$72="","",Slide_Content!$B$72)</f>
        <v/>
      </c>
    </row>
    <row r="73" customFormat="false" ht="15" hidden="false" customHeight="false" outlineLevel="0" collapsed="false">
      <c r="A73" s="5" t="s">
        <v>1200</v>
      </c>
      <c r="B73" s="8" t="str">
        <f aca="false">IF(Slide_Content!$B$73="","",Slide_Content!$B$73)</f>
        <v/>
      </c>
    </row>
    <row r="74" customFormat="false" ht="15" hidden="false" customHeight="false" outlineLevel="0" collapsed="false">
      <c r="A74" s="5" t="s">
        <v>1201</v>
      </c>
      <c r="B74" s="8" t="str">
        <f aca="false">IF(Slide_Content!$B$74="","",Slide_Content!$B$74)</f>
        <v/>
      </c>
    </row>
    <row r="75" customFormat="false" ht="15" hidden="false" customHeight="false" outlineLevel="0" collapsed="false">
      <c r="A75" s="5" t="s">
        <v>1202</v>
      </c>
      <c r="B75" s="8" t="str">
        <f aca="false">IF(Slide_Content!$B$75="","",Slide_Content!$B$75)</f>
        <v/>
      </c>
    </row>
    <row r="76" customFormat="false" ht="23.85" hidden="false" customHeight="false" outlineLevel="0" collapsed="false">
      <c r="A76" s="5" t="s">
        <v>1203</v>
      </c>
      <c r="B76" s="8" t="str">
        <f aca="false">IF(Slide_Content!$B$76="","",Slide_Content!$B$76)</f>
        <v/>
      </c>
    </row>
    <row r="77" customFormat="false" ht="23.85" hidden="false" customHeight="false" outlineLevel="0" collapsed="false">
      <c r="A77" s="5" t="s">
        <v>1204</v>
      </c>
      <c r="B77" s="8" t="str">
        <f aca="false">IF(Slide_Content!$B$77="","",Slide_Content!$B$77)</f>
        <v/>
      </c>
    </row>
    <row r="78" customFormat="false" ht="15" hidden="false" customHeight="false" outlineLevel="0" collapsed="false">
      <c r="A78" s="5" t="s">
        <v>1205</v>
      </c>
      <c r="B78" s="8" t="str">
        <f aca="false">IF(Slide_Content!$B$78="","",Slide_Content!$B$78)</f>
        <v/>
      </c>
    </row>
    <row r="79" customFormat="false" ht="15" hidden="false" customHeight="false" outlineLevel="0" collapsed="false">
      <c r="A79" s="5" t="s">
        <v>1206</v>
      </c>
      <c r="B79" s="8" t="str">
        <f aca="false">IF(Slide_Content!$B$79="","",Slide_Content!$B$79)</f>
        <v/>
      </c>
    </row>
    <row r="80" customFormat="false" ht="15" hidden="false" customHeight="false" outlineLevel="0" collapsed="false">
      <c r="A80" s="5" t="s">
        <v>1207</v>
      </c>
      <c r="B80" s="8" t="str">
        <f aca="false">IF(Slide_Content!$B$80="","",Slide_Content!$B$80)</f>
        <v/>
      </c>
    </row>
    <row r="81" customFormat="false" ht="23.85" hidden="false" customHeight="false" outlineLevel="0" collapsed="false">
      <c r="A81" s="5" t="s">
        <v>1208</v>
      </c>
      <c r="B81" s="8" t="str">
        <f aca="false">IF(Slide_Content!$B$81="","",Slide_Content!$B$81)</f>
        <v/>
      </c>
    </row>
    <row r="82" customFormat="false" ht="23.85" hidden="false" customHeight="false" outlineLevel="0" collapsed="false">
      <c r="A82" s="5" t="s">
        <v>1209</v>
      </c>
      <c r="B82" s="8" t="str">
        <f aca="false">IF(Slide_Content!$B$82="","",Slide_Content!$B$82)</f>
        <v/>
      </c>
    </row>
    <row r="83" customFormat="false" ht="15" hidden="false" customHeight="false" outlineLevel="0" collapsed="false">
      <c r="A83" s="5" t="s">
        <v>1210</v>
      </c>
      <c r="B83" s="8" t="str">
        <f aca="false">IF(Slide_Content!$B$83="","",Slide_Content!$B$83)</f>
        <v/>
      </c>
    </row>
    <row r="84" customFormat="false" ht="15" hidden="false" customHeight="false" outlineLevel="0" collapsed="false">
      <c r="A84" s="5" t="s">
        <v>1211</v>
      </c>
      <c r="B84" s="8" t="str">
        <f aca="false">IF(Slide_Content!$B$84="","",Slide_Content!$B$84)</f>
        <v/>
      </c>
    </row>
    <row r="85" customFormat="false" ht="15" hidden="false" customHeight="false" outlineLevel="0" collapsed="false">
      <c r="A85" s="5" t="s">
        <v>1212</v>
      </c>
      <c r="B85" s="8" t="str">
        <f aca="false">IF(Slide_Content!$B$85="","",Slide_Content!$B$85)</f>
        <v/>
      </c>
    </row>
    <row r="86" customFormat="false" ht="23.85" hidden="false" customHeight="false" outlineLevel="0" collapsed="false">
      <c r="A86" s="5" t="s">
        <v>1213</v>
      </c>
      <c r="B86" s="8" t="str">
        <f aca="false">IF(Slide_Content!$B$86="","",Slide_Content!$B$86)</f>
        <v/>
      </c>
    </row>
    <row r="87" customFormat="false" ht="23.85" hidden="false" customHeight="false" outlineLevel="0" collapsed="false">
      <c r="A87" s="5" t="s">
        <v>1214</v>
      </c>
      <c r="B87" s="8" t="str">
        <f aca="false">IF(Slide_Content!$B$87="","",Slide_Content!$B$87)</f>
        <v/>
      </c>
    </row>
    <row r="88" customFormat="false" ht="15" hidden="false" customHeight="false" outlineLevel="0" collapsed="false">
      <c r="A88" s="5" t="s">
        <v>1215</v>
      </c>
      <c r="B88" s="8" t="str">
        <f aca="false">IF(Slide_Content!$B$88="","",Slide_Content!$B$88)</f>
        <v/>
      </c>
    </row>
    <row r="89" customFormat="false" ht="15" hidden="false" customHeight="false" outlineLevel="0" collapsed="false">
      <c r="A89" s="5" t="s">
        <v>1216</v>
      </c>
      <c r="B89" s="8" t="str">
        <f aca="false">IF(Slide_Content!$B$89="","",Slide_Content!$B$89)</f>
        <v/>
      </c>
    </row>
    <row r="90" customFormat="false" ht="15" hidden="false" customHeight="false" outlineLevel="0" collapsed="false">
      <c r="A90" s="5" t="s">
        <v>1217</v>
      </c>
      <c r="B90" s="8" t="str">
        <f aca="false">IF(Slide_Content!$B$90="","",Slide_Content!$B$90)</f>
        <v/>
      </c>
    </row>
    <row r="91" customFormat="false" ht="23.85" hidden="false" customHeight="false" outlineLevel="0" collapsed="false">
      <c r="A91" s="5" t="s">
        <v>1218</v>
      </c>
      <c r="B91" s="8" t="str">
        <f aca="false">IF(Slide_Content!$B$91="","",Slide_Content!$B$91)</f>
        <v/>
      </c>
    </row>
    <row r="92" customFormat="false" ht="23.85" hidden="false" customHeight="false" outlineLevel="0" collapsed="false">
      <c r="A92" s="5" t="s">
        <v>1219</v>
      </c>
      <c r="B92" s="8" t="str">
        <f aca="false">IF(Slide_Content!$B$92="","",Slide_Content!$B$92)</f>
        <v/>
      </c>
    </row>
    <row r="93" customFormat="false" ht="15" hidden="false" customHeight="false" outlineLevel="0" collapsed="false">
      <c r="A93" s="5" t="s">
        <v>1220</v>
      </c>
      <c r="B93" s="8" t="str">
        <f aca="false">IF(Slide_Content!$B$93="","",Slide_Content!$B$93)</f>
        <v/>
      </c>
    </row>
    <row r="94" customFormat="false" ht="15" hidden="false" customHeight="false" outlineLevel="0" collapsed="false">
      <c r="A94" s="5" t="s">
        <v>1221</v>
      </c>
      <c r="B94" s="8" t="str">
        <f aca="false">IF(Slide_Content!$B$94="","",Slide_Content!$B$94)</f>
        <v/>
      </c>
    </row>
    <row r="95" customFormat="false" ht="15" hidden="false" customHeight="false" outlineLevel="0" collapsed="false">
      <c r="A95" s="5" t="s">
        <v>1222</v>
      </c>
      <c r="B95" s="8" t="str">
        <f aca="false">IF(Slide_Content!$B$95="","",Slide_Content!$B$95)</f>
        <v/>
      </c>
    </row>
    <row r="96" customFormat="false" ht="15" hidden="false" customHeight="false" outlineLevel="0" collapsed="false">
      <c r="A96" s="5" t="s">
        <v>1223</v>
      </c>
      <c r="B96" s="8" t="str">
        <f aca="false">IF(Slide_Content!$B$96="","",Slide_Content!$B$96)</f>
        <v/>
      </c>
    </row>
    <row r="97" customFormat="false" ht="15" hidden="false" customHeight="false" outlineLevel="0" collapsed="false">
      <c r="A97" s="5" t="s">
        <v>1224</v>
      </c>
      <c r="B97" s="8" t="str">
        <f aca="false">IF(Slide_Content!$B$97="","",Slide_Content!$B$97)</f>
        <v/>
      </c>
    </row>
    <row r="98" customFormat="false" ht="15" hidden="false" customHeight="false" outlineLevel="0" collapsed="false">
      <c r="A98" s="5" t="s">
        <v>1225</v>
      </c>
      <c r="B98" s="8" t="str">
        <f aca="false">IF(Slide_Content!$B$98="","",Slide_Content!$B$98)</f>
        <v/>
      </c>
    </row>
    <row r="99" customFormat="false" ht="15" hidden="false" customHeight="false" outlineLevel="0" collapsed="false">
      <c r="A99" s="5" t="s">
        <v>1226</v>
      </c>
      <c r="B99" s="8" t="str">
        <f aca="false">IF(Slide_Content!$B$99="","",Slide_Content!$B$99)</f>
        <v/>
      </c>
    </row>
    <row r="100" customFormat="false" ht="15" hidden="false" customHeight="false" outlineLevel="0" collapsed="false">
      <c r="A100" s="5" t="s">
        <v>1227</v>
      </c>
      <c r="B100" s="19" t="str">
        <f aca="false">IF(1&gt;$B$3,"",IFERROR(INDEX(Scoring!$D$5:$D$19,MATCH(1,Scoring!$A$5:$A$19,0))&amp;"",""))</f>
        <v/>
      </c>
    </row>
    <row r="101" customFormat="false" ht="15" hidden="false" customHeight="false" outlineLevel="0" collapsed="false">
      <c r="A101" s="5" t="s">
        <v>1228</v>
      </c>
      <c r="B101" s="19" t="str">
        <f aca="false">IF(1&gt;$B$3,"",IFERROR(IF(INDEX(Taxonomy!$G$5:$G$19,MATCH(INDEX(Scoring!$B$5:$B$19,MATCH(1,Scoring!$A$5:$A$19,0)),Taxonomy!$C$5:$C$19,0))=0,"– | 0",IF(INDEX(Taxonomy!$H$5:$H$19,MATCH(INDEX(Scoring!$B$5:$B$19,MATCH(1,Scoring!$A$5:$A$19,0)),Taxonomy!$C$5:$C$19,0))&lt;0.1,"&lt;$0.1bn | "&amp;INDEX(Taxonomy!$G$5:$G$19,MATCH(INDEX(Scoring!$B$5:$B$19,MATCH(1,Scoring!$A$5:$A$19,0)),Taxonomy!$C$5:$C$19,0)),"$"&amp;TEXT(INDEX(Taxonomy!$H$5:$H$19,MATCH(INDEX(Scoring!$B$5:$B$19,MATCH(1,Scoring!$A$5:$A$19,0)),Taxonomy!$C$5:$C$19,0)),"0.0")&amp;"bn | "&amp;INDEX(Taxonomy!$G$5:$G$19,MATCH(INDEX(Scoring!$B$5:$B$19,MATCH(1,Scoring!$A$5:$A$19,0)),Taxonomy!$C$5:$C$19,0))))&amp;"",""))</f>
        <v/>
      </c>
    </row>
    <row r="102" customFormat="false" ht="15" hidden="false" customHeight="false" outlineLevel="0" collapsed="false">
      <c r="A102" s="5" t="s">
        <v>1229</v>
      </c>
      <c r="B102" s="19" t="str">
        <f aca="false">IF(1&gt;$B$3,"",IFERROR(INDEX(Scoring!$U$5:$U$19,MATCH(1,Scoring!$A$5:$A$19,0))&amp;"",""))</f>
        <v/>
      </c>
    </row>
    <row r="103" customFormat="false" ht="15" hidden="false" customHeight="false" outlineLevel="0" collapsed="false">
      <c r="A103" s="5" t="s">
        <v>1230</v>
      </c>
      <c r="B103" s="19" t="str">
        <f aca="false">IF(1&gt;$B$3,"",IFERROR(TEXT(INDEX(Scoring!$J$5:$J$19,MATCH(1,Scoring!$A$5:$A$19,0)),"0.0")&amp;"",""))</f>
        <v/>
      </c>
    </row>
    <row r="104" customFormat="false" ht="15" hidden="false" customHeight="false" outlineLevel="0" collapsed="false">
      <c r="A104" s="5" t="s">
        <v>1231</v>
      </c>
      <c r="B104" s="19" t="str">
        <f aca="false">IF(1&gt;$B$3,"",IFERROR(INDEX(Scoring!$K$5:$K$19,MATCH(1,Scoring!$A$5:$A$19,0))&amp;"",""))</f>
        <v/>
      </c>
    </row>
    <row r="105" customFormat="false" ht="15" hidden="false" customHeight="false" outlineLevel="0" collapsed="false">
      <c r="A105" s="5" t="s">
        <v>1232</v>
      </c>
      <c r="B105" s="19" t="str">
        <f aca="false">IF(1&gt;$B$3,"",IFERROR(INDEX(Scoring!$T$5:$T$19,MATCH(1,Scoring!$A$5:$A$19,0))&amp;"",""))</f>
        <v/>
      </c>
    </row>
    <row r="106" customFormat="false" ht="15" hidden="false" customHeight="false" outlineLevel="0" collapsed="false">
      <c r="A106" s="5" t="s">
        <v>1233</v>
      </c>
      <c r="B106" s="19" t="str">
        <f aca="false">IF(2&gt;$B$3,"",IFERROR(INDEX(Scoring!$D$5:$D$19,MATCH(2,Scoring!$A$5:$A$19,0))&amp;"",""))</f>
        <v/>
      </c>
    </row>
    <row r="107" customFormat="false" ht="15" hidden="false" customHeight="false" outlineLevel="0" collapsed="false">
      <c r="A107" s="5" t="s">
        <v>1234</v>
      </c>
      <c r="B107" s="19" t="str">
        <f aca="false">IF(2&gt;$B$3,"",IFERROR(IF(INDEX(Taxonomy!$G$5:$G$19,MATCH(INDEX(Scoring!$B$5:$B$19,MATCH(2,Scoring!$A$5:$A$19,0)),Taxonomy!$C$5:$C$19,0))=0,"– | 0",IF(INDEX(Taxonomy!$H$5:$H$19,MATCH(INDEX(Scoring!$B$5:$B$19,MATCH(2,Scoring!$A$5:$A$19,0)),Taxonomy!$C$5:$C$19,0))&lt;0.1,"&lt;$0.1bn | "&amp;INDEX(Taxonomy!$G$5:$G$19,MATCH(INDEX(Scoring!$B$5:$B$19,MATCH(2,Scoring!$A$5:$A$19,0)),Taxonomy!$C$5:$C$19,0)),"$"&amp;TEXT(INDEX(Taxonomy!$H$5:$H$19,MATCH(INDEX(Scoring!$B$5:$B$19,MATCH(2,Scoring!$A$5:$A$19,0)),Taxonomy!$C$5:$C$19,0)),"0.0")&amp;"bn | "&amp;INDEX(Taxonomy!$G$5:$G$19,MATCH(INDEX(Scoring!$B$5:$B$19,MATCH(2,Scoring!$A$5:$A$19,0)),Taxonomy!$C$5:$C$19,0))))&amp;"",""))</f>
        <v/>
      </c>
    </row>
    <row r="108" customFormat="false" ht="15" hidden="false" customHeight="false" outlineLevel="0" collapsed="false">
      <c r="A108" s="5" t="s">
        <v>1235</v>
      </c>
      <c r="B108" s="19" t="str">
        <f aca="false">IF(2&gt;$B$3,"",IFERROR(INDEX(Scoring!$U$5:$U$19,MATCH(2,Scoring!$A$5:$A$19,0))&amp;"",""))</f>
        <v/>
      </c>
    </row>
    <row r="109" customFormat="false" ht="15" hidden="false" customHeight="false" outlineLevel="0" collapsed="false">
      <c r="A109" s="5" t="s">
        <v>1236</v>
      </c>
      <c r="B109" s="19" t="str">
        <f aca="false">IF(2&gt;$B$3,"",IFERROR(TEXT(INDEX(Scoring!$J$5:$J$19,MATCH(2,Scoring!$A$5:$A$19,0)),"0.0")&amp;"",""))</f>
        <v/>
      </c>
    </row>
    <row r="110" customFormat="false" ht="15" hidden="false" customHeight="false" outlineLevel="0" collapsed="false">
      <c r="A110" s="5" t="s">
        <v>1237</v>
      </c>
      <c r="B110" s="19" t="str">
        <f aca="false">IF(2&gt;$B$3,"",IFERROR(INDEX(Scoring!$K$5:$K$19,MATCH(2,Scoring!$A$5:$A$19,0))&amp;"",""))</f>
        <v/>
      </c>
    </row>
    <row r="111" customFormat="false" ht="15" hidden="false" customHeight="false" outlineLevel="0" collapsed="false">
      <c r="A111" s="5" t="s">
        <v>1238</v>
      </c>
      <c r="B111" s="19" t="str">
        <f aca="false">IF(2&gt;$B$3,"",IFERROR(INDEX(Scoring!$T$5:$T$19,MATCH(2,Scoring!$A$5:$A$19,0))&amp;"",""))</f>
        <v/>
      </c>
    </row>
    <row r="112" customFormat="false" ht="15" hidden="false" customHeight="false" outlineLevel="0" collapsed="false">
      <c r="A112" s="5" t="s">
        <v>1239</v>
      </c>
      <c r="B112" s="19" t="str">
        <f aca="false">IF(3&gt;$B$3,"",IFERROR(INDEX(Scoring!$D$5:$D$19,MATCH(3,Scoring!$A$5:$A$19,0))&amp;"",""))</f>
        <v/>
      </c>
    </row>
    <row r="113" customFormat="false" ht="15" hidden="false" customHeight="false" outlineLevel="0" collapsed="false">
      <c r="A113" s="5" t="s">
        <v>1240</v>
      </c>
      <c r="B113" s="19" t="str">
        <f aca="false">IF(3&gt;$B$3,"",IFERROR(IF(INDEX(Taxonomy!$G$5:$G$19,MATCH(INDEX(Scoring!$B$5:$B$19,MATCH(3,Scoring!$A$5:$A$19,0)),Taxonomy!$C$5:$C$19,0))=0,"– | 0",IF(INDEX(Taxonomy!$H$5:$H$19,MATCH(INDEX(Scoring!$B$5:$B$19,MATCH(3,Scoring!$A$5:$A$19,0)),Taxonomy!$C$5:$C$19,0))&lt;0.1,"&lt;$0.1bn | "&amp;INDEX(Taxonomy!$G$5:$G$19,MATCH(INDEX(Scoring!$B$5:$B$19,MATCH(3,Scoring!$A$5:$A$19,0)),Taxonomy!$C$5:$C$19,0)),"$"&amp;TEXT(INDEX(Taxonomy!$H$5:$H$19,MATCH(INDEX(Scoring!$B$5:$B$19,MATCH(3,Scoring!$A$5:$A$19,0)),Taxonomy!$C$5:$C$19,0)),"0.0")&amp;"bn | "&amp;INDEX(Taxonomy!$G$5:$G$19,MATCH(INDEX(Scoring!$B$5:$B$19,MATCH(3,Scoring!$A$5:$A$19,0)),Taxonomy!$C$5:$C$19,0))))&amp;"",""))</f>
        <v/>
      </c>
    </row>
    <row r="114" customFormat="false" ht="15" hidden="false" customHeight="false" outlineLevel="0" collapsed="false">
      <c r="A114" s="5" t="s">
        <v>1241</v>
      </c>
      <c r="B114" s="19" t="str">
        <f aca="false">IF(3&gt;$B$3,"",IFERROR(INDEX(Scoring!$U$5:$U$19,MATCH(3,Scoring!$A$5:$A$19,0))&amp;"",""))</f>
        <v/>
      </c>
    </row>
    <row r="115" customFormat="false" ht="15" hidden="false" customHeight="false" outlineLevel="0" collapsed="false">
      <c r="A115" s="5" t="s">
        <v>1242</v>
      </c>
      <c r="B115" s="19" t="str">
        <f aca="false">IF(3&gt;$B$3,"",IFERROR(TEXT(INDEX(Scoring!$J$5:$J$19,MATCH(3,Scoring!$A$5:$A$19,0)),"0.0")&amp;"",""))</f>
        <v/>
      </c>
    </row>
    <row r="116" customFormat="false" ht="15" hidden="false" customHeight="false" outlineLevel="0" collapsed="false">
      <c r="A116" s="5" t="s">
        <v>1243</v>
      </c>
      <c r="B116" s="19" t="str">
        <f aca="false">IF(3&gt;$B$3,"",IFERROR(INDEX(Scoring!$K$5:$K$19,MATCH(3,Scoring!$A$5:$A$19,0))&amp;"",""))</f>
        <v/>
      </c>
    </row>
    <row r="117" customFormat="false" ht="15" hidden="false" customHeight="false" outlineLevel="0" collapsed="false">
      <c r="A117" s="5" t="s">
        <v>1244</v>
      </c>
      <c r="B117" s="19" t="str">
        <f aca="false">IF(3&gt;$B$3,"",IFERROR(INDEX(Scoring!$T$5:$T$19,MATCH(3,Scoring!$A$5:$A$19,0))&amp;"",""))</f>
        <v/>
      </c>
    </row>
    <row r="118" customFormat="false" ht="15" hidden="false" customHeight="false" outlineLevel="0" collapsed="false">
      <c r="A118" s="5" t="s">
        <v>1245</v>
      </c>
      <c r="B118" s="19" t="str">
        <f aca="false">IF(4&gt;$B$3,"",IFERROR(INDEX(Scoring!$D$5:$D$19,MATCH(4,Scoring!$A$5:$A$19,0))&amp;"",""))</f>
        <v/>
      </c>
    </row>
    <row r="119" customFormat="false" ht="15" hidden="false" customHeight="false" outlineLevel="0" collapsed="false">
      <c r="A119" s="5" t="s">
        <v>1246</v>
      </c>
      <c r="B119" s="19" t="str">
        <f aca="false">IF(4&gt;$B$3,"",IFERROR(IF(INDEX(Taxonomy!$G$5:$G$19,MATCH(INDEX(Scoring!$B$5:$B$19,MATCH(4,Scoring!$A$5:$A$19,0)),Taxonomy!$C$5:$C$19,0))=0,"– | 0",IF(INDEX(Taxonomy!$H$5:$H$19,MATCH(INDEX(Scoring!$B$5:$B$19,MATCH(4,Scoring!$A$5:$A$19,0)),Taxonomy!$C$5:$C$19,0))&lt;0.1,"&lt;$0.1bn | "&amp;INDEX(Taxonomy!$G$5:$G$19,MATCH(INDEX(Scoring!$B$5:$B$19,MATCH(4,Scoring!$A$5:$A$19,0)),Taxonomy!$C$5:$C$19,0)),"$"&amp;TEXT(INDEX(Taxonomy!$H$5:$H$19,MATCH(INDEX(Scoring!$B$5:$B$19,MATCH(4,Scoring!$A$5:$A$19,0)),Taxonomy!$C$5:$C$19,0)),"0.0")&amp;"bn | "&amp;INDEX(Taxonomy!$G$5:$G$19,MATCH(INDEX(Scoring!$B$5:$B$19,MATCH(4,Scoring!$A$5:$A$19,0)),Taxonomy!$C$5:$C$19,0))))&amp;"",""))</f>
        <v/>
      </c>
    </row>
    <row r="120" customFormat="false" ht="15" hidden="false" customHeight="false" outlineLevel="0" collapsed="false">
      <c r="A120" s="5" t="s">
        <v>1247</v>
      </c>
      <c r="B120" s="19" t="str">
        <f aca="false">IF(4&gt;$B$3,"",IFERROR(INDEX(Scoring!$U$5:$U$19,MATCH(4,Scoring!$A$5:$A$19,0))&amp;"",""))</f>
        <v/>
      </c>
    </row>
    <row r="121" customFormat="false" ht="15" hidden="false" customHeight="false" outlineLevel="0" collapsed="false">
      <c r="A121" s="5" t="s">
        <v>1248</v>
      </c>
      <c r="B121" s="19" t="str">
        <f aca="false">IF(4&gt;$B$3,"",IFERROR(TEXT(INDEX(Scoring!$J$5:$J$19,MATCH(4,Scoring!$A$5:$A$19,0)),"0.0")&amp;"",""))</f>
        <v/>
      </c>
    </row>
    <row r="122" customFormat="false" ht="15" hidden="false" customHeight="false" outlineLevel="0" collapsed="false">
      <c r="A122" s="5" t="s">
        <v>1249</v>
      </c>
      <c r="B122" s="19" t="str">
        <f aca="false">IF(4&gt;$B$3,"",IFERROR(INDEX(Scoring!$K$5:$K$19,MATCH(4,Scoring!$A$5:$A$19,0))&amp;"",""))</f>
        <v/>
      </c>
    </row>
    <row r="123" customFormat="false" ht="15" hidden="false" customHeight="false" outlineLevel="0" collapsed="false">
      <c r="A123" s="5" t="s">
        <v>1250</v>
      </c>
      <c r="B123" s="19" t="str">
        <f aca="false">IF(4&gt;$B$3,"",IFERROR(INDEX(Scoring!$T$5:$T$19,MATCH(4,Scoring!$A$5:$A$19,0))&amp;"",""))</f>
        <v/>
      </c>
    </row>
    <row r="124" customFormat="false" ht="15" hidden="false" customHeight="false" outlineLevel="0" collapsed="false">
      <c r="A124" s="5" t="s">
        <v>1251</v>
      </c>
      <c r="B124" s="19" t="str">
        <f aca="false">IF(5&gt;$B$3,"",IFERROR(INDEX(Scoring!$D$5:$D$19,MATCH(5,Scoring!$A$5:$A$19,0))&amp;"",""))</f>
        <v/>
      </c>
    </row>
    <row r="125" customFormat="false" ht="15" hidden="false" customHeight="false" outlineLevel="0" collapsed="false">
      <c r="A125" s="5" t="s">
        <v>1252</v>
      </c>
      <c r="B125" s="19" t="str">
        <f aca="false">IF(5&gt;$B$3,"",IFERROR(IF(INDEX(Taxonomy!$G$5:$G$19,MATCH(INDEX(Scoring!$B$5:$B$19,MATCH(5,Scoring!$A$5:$A$19,0)),Taxonomy!$C$5:$C$19,0))=0,"– | 0",IF(INDEX(Taxonomy!$H$5:$H$19,MATCH(INDEX(Scoring!$B$5:$B$19,MATCH(5,Scoring!$A$5:$A$19,0)),Taxonomy!$C$5:$C$19,0))&lt;0.1,"&lt;$0.1bn | "&amp;INDEX(Taxonomy!$G$5:$G$19,MATCH(INDEX(Scoring!$B$5:$B$19,MATCH(5,Scoring!$A$5:$A$19,0)),Taxonomy!$C$5:$C$19,0)),"$"&amp;TEXT(INDEX(Taxonomy!$H$5:$H$19,MATCH(INDEX(Scoring!$B$5:$B$19,MATCH(5,Scoring!$A$5:$A$19,0)),Taxonomy!$C$5:$C$19,0)),"0.0")&amp;"bn | "&amp;INDEX(Taxonomy!$G$5:$G$19,MATCH(INDEX(Scoring!$B$5:$B$19,MATCH(5,Scoring!$A$5:$A$19,0)),Taxonomy!$C$5:$C$19,0))))&amp;"",""))</f>
        <v/>
      </c>
    </row>
    <row r="126" customFormat="false" ht="15" hidden="false" customHeight="false" outlineLevel="0" collapsed="false">
      <c r="A126" s="5" t="s">
        <v>1253</v>
      </c>
      <c r="B126" s="19" t="str">
        <f aca="false">IF(5&gt;$B$3,"",IFERROR(INDEX(Scoring!$U$5:$U$19,MATCH(5,Scoring!$A$5:$A$19,0))&amp;"",""))</f>
        <v/>
      </c>
    </row>
    <row r="127" customFormat="false" ht="15" hidden="false" customHeight="false" outlineLevel="0" collapsed="false">
      <c r="A127" s="5" t="s">
        <v>1254</v>
      </c>
      <c r="B127" s="19" t="str">
        <f aca="false">IF(5&gt;$B$3,"",IFERROR(TEXT(INDEX(Scoring!$J$5:$J$19,MATCH(5,Scoring!$A$5:$A$19,0)),"0.0")&amp;"",""))</f>
        <v/>
      </c>
    </row>
    <row r="128" customFormat="false" ht="15" hidden="false" customHeight="false" outlineLevel="0" collapsed="false">
      <c r="A128" s="5" t="s">
        <v>1255</v>
      </c>
      <c r="B128" s="19" t="str">
        <f aca="false">IF(5&gt;$B$3,"",IFERROR(INDEX(Scoring!$K$5:$K$19,MATCH(5,Scoring!$A$5:$A$19,0))&amp;"",""))</f>
        <v/>
      </c>
    </row>
    <row r="129" customFormat="false" ht="15" hidden="false" customHeight="false" outlineLevel="0" collapsed="false">
      <c r="A129" s="5" t="s">
        <v>1256</v>
      </c>
      <c r="B129" s="19" t="str">
        <f aca="false">IF(5&gt;$B$3,"",IFERROR(INDEX(Scoring!$T$5:$T$19,MATCH(5,Scoring!$A$5:$A$19,0))&amp;"",""))</f>
        <v/>
      </c>
    </row>
    <row r="130" customFormat="false" ht="15" hidden="false" customHeight="false" outlineLevel="0" collapsed="false">
      <c r="A130" s="5" t="s">
        <v>1257</v>
      </c>
      <c r="B130" s="19" t="str">
        <f aca="false">IF(6&gt;$B$3,"",IFERROR(INDEX(Scoring!$D$5:$D$19,MATCH(6,Scoring!$A$5:$A$19,0))&amp;"",""))</f>
        <v/>
      </c>
    </row>
    <row r="131" customFormat="false" ht="15" hidden="false" customHeight="false" outlineLevel="0" collapsed="false">
      <c r="A131" s="5" t="s">
        <v>1258</v>
      </c>
      <c r="B131" s="19" t="str">
        <f aca="false">IF(6&gt;$B$3,"",IFERROR(IF(INDEX(Taxonomy!$G$5:$G$19,MATCH(INDEX(Scoring!$B$5:$B$19,MATCH(6,Scoring!$A$5:$A$19,0)),Taxonomy!$C$5:$C$19,0))=0,"– | 0",IF(INDEX(Taxonomy!$H$5:$H$19,MATCH(INDEX(Scoring!$B$5:$B$19,MATCH(6,Scoring!$A$5:$A$19,0)),Taxonomy!$C$5:$C$19,0))&lt;0.1,"&lt;$0.1bn | "&amp;INDEX(Taxonomy!$G$5:$G$19,MATCH(INDEX(Scoring!$B$5:$B$19,MATCH(6,Scoring!$A$5:$A$19,0)),Taxonomy!$C$5:$C$19,0)),"$"&amp;TEXT(INDEX(Taxonomy!$H$5:$H$19,MATCH(INDEX(Scoring!$B$5:$B$19,MATCH(6,Scoring!$A$5:$A$19,0)),Taxonomy!$C$5:$C$19,0)),"0.0")&amp;"bn | "&amp;INDEX(Taxonomy!$G$5:$G$19,MATCH(INDEX(Scoring!$B$5:$B$19,MATCH(6,Scoring!$A$5:$A$19,0)),Taxonomy!$C$5:$C$19,0))))&amp;"",""))</f>
        <v/>
      </c>
    </row>
    <row r="132" customFormat="false" ht="15" hidden="false" customHeight="false" outlineLevel="0" collapsed="false">
      <c r="A132" s="5" t="s">
        <v>1259</v>
      </c>
      <c r="B132" s="19" t="str">
        <f aca="false">IF(6&gt;$B$3,"",IFERROR(INDEX(Scoring!$U$5:$U$19,MATCH(6,Scoring!$A$5:$A$19,0))&amp;"",""))</f>
        <v/>
      </c>
    </row>
    <row r="133" customFormat="false" ht="15" hidden="false" customHeight="false" outlineLevel="0" collapsed="false">
      <c r="A133" s="5" t="s">
        <v>1260</v>
      </c>
      <c r="B133" s="19" t="str">
        <f aca="false">IF(6&gt;$B$3,"",IFERROR(TEXT(INDEX(Scoring!$J$5:$J$19,MATCH(6,Scoring!$A$5:$A$19,0)),"0.0")&amp;"",""))</f>
        <v/>
      </c>
    </row>
    <row r="134" customFormat="false" ht="15" hidden="false" customHeight="false" outlineLevel="0" collapsed="false">
      <c r="A134" s="5" t="s">
        <v>1261</v>
      </c>
      <c r="B134" s="19" t="str">
        <f aca="false">IF(6&gt;$B$3,"",IFERROR(INDEX(Scoring!$K$5:$K$19,MATCH(6,Scoring!$A$5:$A$19,0))&amp;"",""))</f>
        <v/>
      </c>
    </row>
    <row r="135" customFormat="false" ht="15" hidden="false" customHeight="false" outlineLevel="0" collapsed="false">
      <c r="A135" s="5" t="s">
        <v>1262</v>
      </c>
      <c r="B135" s="19" t="str">
        <f aca="false">IF(6&gt;$B$3,"",IFERROR(INDEX(Scoring!$T$5:$T$19,MATCH(6,Scoring!$A$5:$A$19,0))&amp;"",""))</f>
        <v/>
      </c>
    </row>
    <row r="136" customFormat="false" ht="15" hidden="false" customHeight="false" outlineLevel="0" collapsed="false">
      <c r="A136" s="5" t="s">
        <v>1263</v>
      </c>
      <c r="B136" s="19" t="str">
        <f aca="false">IF(7&gt;$B$3,"",IFERROR(INDEX(Scoring!$D$5:$D$19,MATCH(7,Scoring!$A$5:$A$19,0))&amp;"",""))</f>
        <v/>
      </c>
    </row>
    <row r="137" customFormat="false" ht="15" hidden="false" customHeight="false" outlineLevel="0" collapsed="false">
      <c r="A137" s="5" t="s">
        <v>1264</v>
      </c>
      <c r="B137" s="19" t="str">
        <f aca="false">IF(7&gt;$B$3,"",IFERROR(IF(INDEX(Taxonomy!$G$5:$G$19,MATCH(INDEX(Scoring!$B$5:$B$19,MATCH(7,Scoring!$A$5:$A$19,0)),Taxonomy!$C$5:$C$19,0))=0,"– | 0",IF(INDEX(Taxonomy!$H$5:$H$19,MATCH(INDEX(Scoring!$B$5:$B$19,MATCH(7,Scoring!$A$5:$A$19,0)),Taxonomy!$C$5:$C$19,0))&lt;0.1,"&lt;$0.1bn | "&amp;INDEX(Taxonomy!$G$5:$G$19,MATCH(INDEX(Scoring!$B$5:$B$19,MATCH(7,Scoring!$A$5:$A$19,0)),Taxonomy!$C$5:$C$19,0)),"$"&amp;TEXT(INDEX(Taxonomy!$H$5:$H$19,MATCH(INDEX(Scoring!$B$5:$B$19,MATCH(7,Scoring!$A$5:$A$19,0)),Taxonomy!$C$5:$C$19,0)),"0.0")&amp;"bn | "&amp;INDEX(Taxonomy!$G$5:$G$19,MATCH(INDEX(Scoring!$B$5:$B$19,MATCH(7,Scoring!$A$5:$A$19,0)),Taxonomy!$C$5:$C$19,0))))&amp;"",""))</f>
        <v/>
      </c>
    </row>
    <row r="138" customFormat="false" ht="15" hidden="false" customHeight="false" outlineLevel="0" collapsed="false">
      <c r="A138" s="5" t="s">
        <v>1265</v>
      </c>
      <c r="B138" s="19" t="str">
        <f aca="false">IF(7&gt;$B$3,"",IFERROR(INDEX(Scoring!$U$5:$U$19,MATCH(7,Scoring!$A$5:$A$19,0))&amp;"",""))</f>
        <v/>
      </c>
    </row>
    <row r="139" customFormat="false" ht="15" hidden="false" customHeight="false" outlineLevel="0" collapsed="false">
      <c r="A139" s="5" t="s">
        <v>1266</v>
      </c>
      <c r="B139" s="19" t="str">
        <f aca="false">IF(7&gt;$B$3,"",IFERROR(TEXT(INDEX(Scoring!$J$5:$J$19,MATCH(7,Scoring!$A$5:$A$19,0)),"0.0")&amp;"",""))</f>
        <v/>
      </c>
    </row>
    <row r="140" customFormat="false" ht="15" hidden="false" customHeight="false" outlineLevel="0" collapsed="false">
      <c r="A140" s="5" t="s">
        <v>1267</v>
      </c>
      <c r="B140" s="19" t="str">
        <f aca="false">IF(7&gt;$B$3,"",IFERROR(INDEX(Scoring!$K$5:$K$19,MATCH(7,Scoring!$A$5:$A$19,0))&amp;"",""))</f>
        <v/>
      </c>
    </row>
    <row r="141" customFormat="false" ht="15" hidden="false" customHeight="false" outlineLevel="0" collapsed="false">
      <c r="A141" s="5" t="s">
        <v>1268</v>
      </c>
      <c r="B141" s="19" t="str">
        <f aca="false">IF(7&gt;$B$3,"",IFERROR(INDEX(Scoring!$T$5:$T$19,MATCH(7,Scoring!$A$5:$A$19,0))&amp;"",""))</f>
        <v/>
      </c>
    </row>
    <row r="142" customFormat="false" ht="15" hidden="false" customHeight="false" outlineLevel="0" collapsed="false">
      <c r="A142" s="5" t="s">
        <v>1269</v>
      </c>
      <c r="B142" s="19" t="str">
        <f aca="false">IF(8&gt;$B$3,"",IFERROR(INDEX(Scoring!$D$5:$D$19,MATCH(8,Scoring!$A$5:$A$19,0))&amp;"",""))</f>
        <v/>
      </c>
    </row>
    <row r="143" customFormat="false" ht="15" hidden="false" customHeight="false" outlineLevel="0" collapsed="false">
      <c r="A143" s="5" t="s">
        <v>1270</v>
      </c>
      <c r="B143" s="19" t="str">
        <f aca="false">IF(8&gt;$B$3,"",IFERROR(IF(INDEX(Taxonomy!$G$5:$G$19,MATCH(INDEX(Scoring!$B$5:$B$19,MATCH(8,Scoring!$A$5:$A$19,0)),Taxonomy!$C$5:$C$19,0))=0,"– | 0",IF(INDEX(Taxonomy!$H$5:$H$19,MATCH(INDEX(Scoring!$B$5:$B$19,MATCH(8,Scoring!$A$5:$A$19,0)),Taxonomy!$C$5:$C$19,0))&lt;0.1,"&lt;$0.1bn | "&amp;INDEX(Taxonomy!$G$5:$G$19,MATCH(INDEX(Scoring!$B$5:$B$19,MATCH(8,Scoring!$A$5:$A$19,0)),Taxonomy!$C$5:$C$19,0)),"$"&amp;TEXT(INDEX(Taxonomy!$H$5:$H$19,MATCH(INDEX(Scoring!$B$5:$B$19,MATCH(8,Scoring!$A$5:$A$19,0)),Taxonomy!$C$5:$C$19,0)),"0.0")&amp;"bn | "&amp;INDEX(Taxonomy!$G$5:$G$19,MATCH(INDEX(Scoring!$B$5:$B$19,MATCH(8,Scoring!$A$5:$A$19,0)),Taxonomy!$C$5:$C$19,0))))&amp;"",""))</f>
        <v/>
      </c>
    </row>
    <row r="144" customFormat="false" ht="15" hidden="false" customHeight="false" outlineLevel="0" collapsed="false">
      <c r="A144" s="5" t="s">
        <v>1271</v>
      </c>
      <c r="B144" s="19" t="str">
        <f aca="false">IF(8&gt;$B$3,"",IFERROR(INDEX(Scoring!$U$5:$U$19,MATCH(8,Scoring!$A$5:$A$19,0))&amp;"",""))</f>
        <v/>
      </c>
    </row>
    <row r="145" customFormat="false" ht="15" hidden="false" customHeight="false" outlineLevel="0" collapsed="false">
      <c r="A145" s="5" t="s">
        <v>1272</v>
      </c>
      <c r="B145" s="19" t="str">
        <f aca="false">IF(8&gt;$B$3,"",IFERROR(TEXT(INDEX(Scoring!$J$5:$J$19,MATCH(8,Scoring!$A$5:$A$19,0)),"0.0")&amp;"",""))</f>
        <v/>
      </c>
    </row>
    <row r="146" customFormat="false" ht="15" hidden="false" customHeight="false" outlineLevel="0" collapsed="false">
      <c r="A146" s="5" t="s">
        <v>1273</v>
      </c>
      <c r="B146" s="19" t="str">
        <f aca="false">IF(8&gt;$B$3,"",IFERROR(INDEX(Scoring!$K$5:$K$19,MATCH(8,Scoring!$A$5:$A$19,0))&amp;"",""))</f>
        <v/>
      </c>
    </row>
    <row r="147" customFormat="false" ht="15" hidden="false" customHeight="false" outlineLevel="0" collapsed="false">
      <c r="A147" s="5" t="s">
        <v>1274</v>
      </c>
      <c r="B147" s="19" t="str">
        <f aca="false">IF(8&gt;$B$3,"",IFERROR(INDEX(Scoring!$T$5:$T$19,MATCH(8,Scoring!$A$5:$A$19,0))&amp;"",""))</f>
        <v/>
      </c>
    </row>
    <row r="148" customFormat="false" ht="15" hidden="false" customHeight="false" outlineLevel="0" collapsed="false">
      <c r="A148" s="5" t="s">
        <v>1275</v>
      </c>
      <c r="B148" s="19" t="str">
        <f aca="false">IF(9&gt;$B$3,"",IFERROR(INDEX(Scoring!$D$5:$D$19,MATCH(9,Scoring!$A$5:$A$19,0))&amp;"",""))</f>
        <v/>
      </c>
    </row>
    <row r="149" customFormat="false" ht="15" hidden="false" customHeight="false" outlineLevel="0" collapsed="false">
      <c r="A149" s="5" t="s">
        <v>1276</v>
      </c>
      <c r="B149" s="19" t="str">
        <f aca="false">IF(9&gt;$B$3,"",IFERROR(IF(INDEX(Taxonomy!$G$5:$G$19,MATCH(INDEX(Scoring!$B$5:$B$19,MATCH(9,Scoring!$A$5:$A$19,0)),Taxonomy!$C$5:$C$19,0))=0,"– | 0",IF(INDEX(Taxonomy!$H$5:$H$19,MATCH(INDEX(Scoring!$B$5:$B$19,MATCH(9,Scoring!$A$5:$A$19,0)),Taxonomy!$C$5:$C$19,0))&lt;0.1,"&lt;$0.1bn | "&amp;INDEX(Taxonomy!$G$5:$G$19,MATCH(INDEX(Scoring!$B$5:$B$19,MATCH(9,Scoring!$A$5:$A$19,0)),Taxonomy!$C$5:$C$19,0)),"$"&amp;TEXT(INDEX(Taxonomy!$H$5:$H$19,MATCH(INDEX(Scoring!$B$5:$B$19,MATCH(9,Scoring!$A$5:$A$19,0)),Taxonomy!$C$5:$C$19,0)),"0.0")&amp;"bn | "&amp;INDEX(Taxonomy!$G$5:$G$19,MATCH(INDEX(Scoring!$B$5:$B$19,MATCH(9,Scoring!$A$5:$A$19,0)),Taxonomy!$C$5:$C$19,0))))&amp;"",""))</f>
        <v/>
      </c>
    </row>
    <row r="150" customFormat="false" ht="15" hidden="false" customHeight="false" outlineLevel="0" collapsed="false">
      <c r="A150" s="5" t="s">
        <v>1277</v>
      </c>
      <c r="B150" s="19" t="str">
        <f aca="false">IF(9&gt;$B$3,"",IFERROR(INDEX(Scoring!$U$5:$U$19,MATCH(9,Scoring!$A$5:$A$19,0))&amp;"",""))</f>
        <v/>
      </c>
    </row>
    <row r="151" customFormat="false" ht="15" hidden="false" customHeight="false" outlineLevel="0" collapsed="false">
      <c r="A151" s="5" t="s">
        <v>1278</v>
      </c>
      <c r="B151" s="19" t="str">
        <f aca="false">IF(9&gt;$B$3,"",IFERROR(TEXT(INDEX(Scoring!$J$5:$J$19,MATCH(9,Scoring!$A$5:$A$19,0)),"0.0")&amp;"",""))</f>
        <v/>
      </c>
    </row>
    <row r="152" customFormat="false" ht="15" hidden="false" customHeight="false" outlineLevel="0" collapsed="false">
      <c r="A152" s="5" t="s">
        <v>1279</v>
      </c>
      <c r="B152" s="19" t="str">
        <f aca="false">IF(9&gt;$B$3,"",IFERROR(INDEX(Scoring!$K$5:$K$19,MATCH(9,Scoring!$A$5:$A$19,0))&amp;"",""))</f>
        <v/>
      </c>
    </row>
    <row r="153" customFormat="false" ht="15" hidden="false" customHeight="false" outlineLevel="0" collapsed="false">
      <c r="A153" s="5" t="s">
        <v>1280</v>
      </c>
      <c r="B153" s="19" t="str">
        <f aca="false">IF(9&gt;$B$3,"",IFERROR(INDEX(Scoring!$T$5:$T$19,MATCH(9,Scoring!$A$5:$A$19,0))&amp;"",""))</f>
        <v/>
      </c>
    </row>
    <row r="154" customFormat="false" ht="15" hidden="false" customHeight="false" outlineLevel="0" collapsed="false">
      <c r="A154" s="5" t="s">
        <v>1281</v>
      </c>
      <c r="B154" s="19" t="str">
        <f aca="false">IF(10&gt;$B$3,"",IFERROR(INDEX(Scoring!$D$5:$D$19,MATCH(10,Scoring!$A$5:$A$19,0))&amp;"",""))</f>
        <v/>
      </c>
    </row>
    <row r="155" customFormat="false" ht="15" hidden="false" customHeight="false" outlineLevel="0" collapsed="false">
      <c r="A155" s="5" t="s">
        <v>1282</v>
      </c>
      <c r="B155" s="19" t="str">
        <f aca="false">IF(10&gt;$B$3,"",IFERROR(IF(INDEX(Taxonomy!$G$5:$G$19,MATCH(INDEX(Scoring!$B$5:$B$19,MATCH(10,Scoring!$A$5:$A$19,0)),Taxonomy!$C$5:$C$19,0))=0,"– | 0",IF(INDEX(Taxonomy!$H$5:$H$19,MATCH(INDEX(Scoring!$B$5:$B$19,MATCH(10,Scoring!$A$5:$A$19,0)),Taxonomy!$C$5:$C$19,0))&lt;0.1,"&lt;$0.1bn | "&amp;INDEX(Taxonomy!$G$5:$G$19,MATCH(INDEX(Scoring!$B$5:$B$19,MATCH(10,Scoring!$A$5:$A$19,0)),Taxonomy!$C$5:$C$19,0)),"$"&amp;TEXT(INDEX(Taxonomy!$H$5:$H$19,MATCH(INDEX(Scoring!$B$5:$B$19,MATCH(10,Scoring!$A$5:$A$19,0)),Taxonomy!$C$5:$C$19,0)),"0.0")&amp;"bn | "&amp;INDEX(Taxonomy!$G$5:$G$19,MATCH(INDEX(Scoring!$B$5:$B$19,MATCH(10,Scoring!$A$5:$A$19,0)),Taxonomy!$C$5:$C$19,0))))&amp;"",""))</f>
        <v/>
      </c>
    </row>
    <row r="156" customFormat="false" ht="15" hidden="false" customHeight="false" outlineLevel="0" collapsed="false">
      <c r="A156" s="5" t="s">
        <v>1283</v>
      </c>
      <c r="B156" s="19" t="str">
        <f aca="false">IF(10&gt;$B$3,"",IFERROR(INDEX(Scoring!$U$5:$U$19,MATCH(10,Scoring!$A$5:$A$19,0))&amp;"",""))</f>
        <v/>
      </c>
    </row>
    <row r="157" customFormat="false" ht="15" hidden="false" customHeight="false" outlineLevel="0" collapsed="false">
      <c r="A157" s="5" t="s">
        <v>1284</v>
      </c>
      <c r="B157" s="19" t="str">
        <f aca="false">IF(10&gt;$B$3,"",IFERROR(TEXT(INDEX(Scoring!$J$5:$J$19,MATCH(10,Scoring!$A$5:$A$19,0)),"0.0")&amp;"",""))</f>
        <v/>
      </c>
    </row>
    <row r="158" customFormat="false" ht="15" hidden="false" customHeight="false" outlineLevel="0" collapsed="false">
      <c r="A158" s="5" t="s">
        <v>1285</v>
      </c>
      <c r="B158" s="19" t="str">
        <f aca="false">IF(10&gt;$B$3,"",IFERROR(INDEX(Scoring!$K$5:$K$19,MATCH(10,Scoring!$A$5:$A$19,0))&amp;"",""))</f>
        <v/>
      </c>
    </row>
    <row r="159" customFormat="false" ht="15" hidden="false" customHeight="false" outlineLevel="0" collapsed="false">
      <c r="A159" s="5" t="s">
        <v>1286</v>
      </c>
      <c r="B159" s="19" t="str">
        <f aca="false">IF(10&gt;$B$3,"",IFERROR(INDEX(Scoring!$T$5:$T$19,MATCH(10,Scoring!$A$5:$A$19,0))&amp;"",""))</f>
        <v/>
      </c>
    </row>
    <row r="160" customFormat="false" ht="15" hidden="false" customHeight="false" outlineLevel="0" collapsed="false">
      <c r="A160" s="5" t="s">
        <v>1287</v>
      </c>
      <c r="B160" s="19" t="str">
        <f aca="false">IF(11&gt;$B$3,"",IFERROR(INDEX(Scoring!$D$5:$D$19,MATCH(11,Scoring!$A$5:$A$19,0))&amp;"",""))</f>
        <v/>
      </c>
    </row>
    <row r="161" customFormat="false" ht="15" hidden="false" customHeight="false" outlineLevel="0" collapsed="false">
      <c r="A161" s="5" t="s">
        <v>1288</v>
      </c>
      <c r="B161" s="19" t="str">
        <f aca="false">IF(11&gt;$B$3,"",IFERROR(IF(INDEX(Taxonomy!$G$5:$G$19,MATCH(INDEX(Scoring!$B$5:$B$19,MATCH(11,Scoring!$A$5:$A$19,0)),Taxonomy!$C$5:$C$19,0))=0,"– | 0",IF(INDEX(Taxonomy!$H$5:$H$19,MATCH(INDEX(Scoring!$B$5:$B$19,MATCH(11,Scoring!$A$5:$A$19,0)),Taxonomy!$C$5:$C$19,0))&lt;0.1,"&lt;$0.1bn | "&amp;INDEX(Taxonomy!$G$5:$G$19,MATCH(INDEX(Scoring!$B$5:$B$19,MATCH(11,Scoring!$A$5:$A$19,0)),Taxonomy!$C$5:$C$19,0)),"$"&amp;TEXT(INDEX(Taxonomy!$H$5:$H$19,MATCH(INDEX(Scoring!$B$5:$B$19,MATCH(11,Scoring!$A$5:$A$19,0)),Taxonomy!$C$5:$C$19,0)),"0.0")&amp;"bn | "&amp;INDEX(Taxonomy!$G$5:$G$19,MATCH(INDEX(Scoring!$B$5:$B$19,MATCH(11,Scoring!$A$5:$A$19,0)),Taxonomy!$C$5:$C$19,0))))&amp;"",""))</f>
        <v/>
      </c>
    </row>
    <row r="162" customFormat="false" ht="15" hidden="false" customHeight="false" outlineLevel="0" collapsed="false">
      <c r="A162" s="5" t="s">
        <v>1289</v>
      </c>
      <c r="B162" s="19" t="str">
        <f aca="false">IF(11&gt;$B$3,"",IFERROR(INDEX(Scoring!$U$5:$U$19,MATCH(11,Scoring!$A$5:$A$19,0))&amp;"",""))</f>
        <v/>
      </c>
    </row>
    <row r="163" customFormat="false" ht="15" hidden="false" customHeight="false" outlineLevel="0" collapsed="false">
      <c r="A163" s="5" t="s">
        <v>1290</v>
      </c>
      <c r="B163" s="19" t="str">
        <f aca="false">IF(11&gt;$B$3,"",IFERROR(TEXT(INDEX(Scoring!$J$5:$J$19,MATCH(11,Scoring!$A$5:$A$19,0)),"0.0")&amp;"",""))</f>
        <v/>
      </c>
    </row>
    <row r="164" customFormat="false" ht="15" hidden="false" customHeight="false" outlineLevel="0" collapsed="false">
      <c r="A164" s="5" t="s">
        <v>1291</v>
      </c>
      <c r="B164" s="19" t="str">
        <f aca="false">IF(11&gt;$B$3,"",IFERROR(INDEX(Scoring!$K$5:$K$19,MATCH(11,Scoring!$A$5:$A$19,0))&amp;"",""))</f>
        <v/>
      </c>
    </row>
    <row r="165" customFormat="false" ht="15" hidden="false" customHeight="false" outlineLevel="0" collapsed="false">
      <c r="A165" s="5" t="s">
        <v>1292</v>
      </c>
      <c r="B165" s="19" t="str">
        <f aca="false">IF(11&gt;$B$3,"",IFERROR(INDEX(Scoring!$T$5:$T$19,MATCH(11,Scoring!$A$5:$A$19,0))&amp;"",""))</f>
        <v/>
      </c>
    </row>
    <row r="166" customFormat="false" ht="15" hidden="false" customHeight="false" outlineLevel="0" collapsed="false">
      <c r="A166" s="5" t="s">
        <v>1293</v>
      </c>
      <c r="B166" s="19" t="str">
        <f aca="false">IF(12&gt;$B$3,"",IFERROR(INDEX(Scoring!$D$5:$D$19,MATCH(12,Scoring!$A$5:$A$19,0))&amp;"",""))</f>
        <v/>
      </c>
    </row>
    <row r="167" customFormat="false" ht="15" hidden="false" customHeight="false" outlineLevel="0" collapsed="false">
      <c r="A167" s="5" t="s">
        <v>1294</v>
      </c>
      <c r="B167" s="19" t="str">
        <f aca="false">IF(12&gt;$B$3,"",IFERROR(IF(INDEX(Taxonomy!$G$5:$G$19,MATCH(INDEX(Scoring!$B$5:$B$19,MATCH(12,Scoring!$A$5:$A$19,0)),Taxonomy!$C$5:$C$19,0))=0,"– | 0",IF(INDEX(Taxonomy!$H$5:$H$19,MATCH(INDEX(Scoring!$B$5:$B$19,MATCH(12,Scoring!$A$5:$A$19,0)),Taxonomy!$C$5:$C$19,0))&lt;0.1,"&lt;$0.1bn | "&amp;INDEX(Taxonomy!$G$5:$G$19,MATCH(INDEX(Scoring!$B$5:$B$19,MATCH(12,Scoring!$A$5:$A$19,0)),Taxonomy!$C$5:$C$19,0)),"$"&amp;TEXT(INDEX(Taxonomy!$H$5:$H$19,MATCH(INDEX(Scoring!$B$5:$B$19,MATCH(12,Scoring!$A$5:$A$19,0)),Taxonomy!$C$5:$C$19,0)),"0.0")&amp;"bn | "&amp;INDEX(Taxonomy!$G$5:$G$19,MATCH(INDEX(Scoring!$B$5:$B$19,MATCH(12,Scoring!$A$5:$A$19,0)),Taxonomy!$C$5:$C$19,0))))&amp;"",""))</f>
        <v/>
      </c>
    </row>
    <row r="168" customFormat="false" ht="15" hidden="false" customHeight="false" outlineLevel="0" collapsed="false">
      <c r="A168" s="5" t="s">
        <v>1295</v>
      </c>
      <c r="B168" s="19" t="str">
        <f aca="false">IF(12&gt;$B$3,"",IFERROR(INDEX(Scoring!$U$5:$U$19,MATCH(12,Scoring!$A$5:$A$19,0))&amp;"",""))</f>
        <v/>
      </c>
    </row>
    <row r="169" customFormat="false" ht="15" hidden="false" customHeight="false" outlineLevel="0" collapsed="false">
      <c r="A169" s="5" t="s">
        <v>1296</v>
      </c>
      <c r="B169" s="19" t="str">
        <f aca="false">IF(12&gt;$B$3,"",IFERROR(TEXT(INDEX(Scoring!$J$5:$J$19,MATCH(12,Scoring!$A$5:$A$19,0)),"0.0")&amp;"",""))</f>
        <v/>
      </c>
    </row>
    <row r="170" customFormat="false" ht="15" hidden="false" customHeight="false" outlineLevel="0" collapsed="false">
      <c r="A170" s="5" t="s">
        <v>1297</v>
      </c>
      <c r="B170" s="19" t="str">
        <f aca="false">IF(12&gt;$B$3,"",IFERROR(INDEX(Scoring!$K$5:$K$19,MATCH(12,Scoring!$A$5:$A$19,0))&amp;"",""))</f>
        <v/>
      </c>
    </row>
    <row r="171" customFormat="false" ht="15" hidden="false" customHeight="false" outlineLevel="0" collapsed="false">
      <c r="A171" s="5" t="s">
        <v>1298</v>
      </c>
      <c r="B171" s="19" t="str">
        <f aca="false">IF(12&gt;$B$3,"",IFERROR(INDEX(Scoring!$T$5:$T$19,MATCH(12,Scoring!$A$5:$A$19,0))&amp;"",""))</f>
        <v/>
      </c>
    </row>
    <row r="172" customFormat="false" ht="23.85" hidden="false" customHeight="false" outlineLevel="0" collapsed="false">
      <c r="A172" s="5" t="s">
        <v>1299</v>
      </c>
      <c r="B172" s="19" t="str">
        <f aca="false">IF(1&gt;$B$3,IFERROR(INDEX(Taxonomy!$M$5:$M$19,MATCH(INDEX(Scoring!$B$5:$B$19,MATCH(1,Scoring!$A$5:$A$19,0)),Taxonomy!$C$5:$C$19,0))&amp;" "&amp;TEXT(INDEX(Scoring!$J$5:$J$19,MATCH(1,Scoring!$A$5:$A$19,0)),"0.0"),"")&amp;IF(1&lt;15,", ",""),"")&amp;IF(2&gt;$B$3,IFERROR(INDEX(Taxonomy!$M$5:$M$19,MATCH(INDEX(Scoring!$B$5:$B$19,MATCH(2,Scoring!$A$5:$A$19,0)),Taxonomy!$C$5:$C$19,0))&amp;" "&amp;TEXT(INDEX(Scoring!$J$5:$J$19,MATCH(2,Scoring!$A$5:$A$19,0)),"0.0"),"")&amp;IF(2&lt;15,", ",""),"")&amp;IF(3&gt;$B$3,IFERROR(INDEX(Taxonomy!$M$5:$M$19,MATCH(INDEX(Scoring!$B$5:$B$19,MATCH(3,Scoring!$A$5:$A$19,0)),Taxonomy!$C$5:$C$19,0))&amp;" "&amp;TEXT(INDEX(Scoring!$J$5:$J$19,MATCH(3,Scoring!$A$5:$A$19,0)),"0.0"),"")&amp;IF(3&lt;15,", ",""),"")&amp;IF(4&gt;$B$3,IFERROR(INDEX(Taxonomy!$M$5:$M$19,MATCH(INDEX(Scoring!$B$5:$B$19,MATCH(4,Scoring!$A$5:$A$19,0)),Taxonomy!$C$5:$C$19,0))&amp;" "&amp;TEXT(INDEX(Scoring!$J$5:$J$19,MATCH(4,Scoring!$A$5:$A$19,0)),"0.0"),"")&amp;IF(4&lt;15,", ",""),"")&amp;IF(5&gt;$B$3,IFERROR(INDEX(Taxonomy!$M$5:$M$19,MATCH(INDEX(Scoring!$B$5:$B$19,MATCH(5,Scoring!$A$5:$A$19,0)),Taxonomy!$C$5:$C$19,0))&amp;" "&amp;TEXT(INDEX(Scoring!$J$5:$J$19,MATCH(5,Scoring!$A$5:$A$19,0)),"0.0"),"")&amp;IF(5&lt;15,", ",""),"")&amp;IF(6&gt;$B$3,IFERROR(INDEX(Taxonomy!$M$5:$M$19,MATCH(INDEX(Scoring!$B$5:$B$19,MATCH(6,Scoring!$A$5:$A$19,0)),Taxonomy!$C$5:$C$19,0))&amp;" "&amp;TEXT(INDEX(Scoring!$J$5:$J$19,MATCH(6,Scoring!$A$5:$A$19,0)),"0.0"),"")&amp;IF(6&lt;15,", ",""),"")&amp;IF(7&gt;$B$3,IFERROR(INDEX(Taxonomy!$M$5:$M$19,MATCH(INDEX(Scoring!$B$5:$B$19,MATCH(7,Scoring!$A$5:$A$19,0)),Taxonomy!$C$5:$C$19,0))&amp;" "&amp;TEXT(INDEX(Scoring!$J$5:$J$19,MATCH(7,Scoring!$A$5:$A$19,0)),"0.0"),"")&amp;IF(7&lt;15,", ",""),"")&amp;IF(8&gt;$B$3,IFERROR(INDEX(Taxonomy!$M$5:$M$19,MATCH(INDEX(Scoring!$B$5:$B$19,MATCH(8,Scoring!$A$5:$A$19,0)),Taxonomy!$C$5:$C$19,0))&amp;" "&amp;TEXT(INDEX(Scoring!$J$5:$J$19,MATCH(8,Scoring!$A$5:$A$19,0)),"0.0"),"")&amp;IF(8&lt;15,", ",""),"")&amp;IF(9&gt;$B$3,IFERROR(INDEX(Taxonomy!$M$5:$M$19,MATCH(INDEX(Scoring!$B$5:$B$19,MATCH(9,Scoring!$A$5:$A$19,0)),Taxonomy!$C$5:$C$19,0))&amp;" "&amp;TEXT(INDEX(Scoring!$J$5:$J$19,MATCH(9,Scoring!$A$5:$A$19,0)),"0.0"),"")&amp;IF(9&lt;15,", ",""),"")&amp;IF(10&gt;$B$3,IFERROR(INDEX(Taxonomy!$M$5:$M$19,MATCH(INDEX(Scoring!$B$5:$B$19,MATCH(10,Scoring!$A$5:$A$19,0)),Taxonomy!$C$5:$C$19,0))&amp;" "&amp;TEXT(INDEX(Scoring!$J$5:$J$19,MATCH(10,Scoring!$A$5:$A$19,0)),"0.0"),"")&amp;IF(10&lt;15,", ",""),"")&amp;IF(11&gt;$B$3,IFERROR(INDEX(Taxonomy!$M$5:$M$19,MATCH(INDEX(Scoring!$B$5:$B$19,MATCH(11,Scoring!$A$5:$A$19,0)),Taxonomy!$C$5:$C$19,0))&amp;" "&amp;TEXT(INDEX(Scoring!$J$5:$J$19,MATCH(11,Scoring!$A$5:$A$19,0)),"0.0"),"")&amp;IF(11&lt;15,", ",""),"")&amp;IF(12&gt;$B$3,IFERROR(INDEX(Taxonomy!$M$5:$M$19,MATCH(INDEX(Scoring!$B$5:$B$19,MATCH(12,Scoring!$A$5:$A$19,0)),Taxonomy!$C$5:$C$19,0))&amp;" "&amp;TEXT(INDEX(Scoring!$J$5:$J$19,MATCH(12,Scoring!$A$5:$A$19,0)),"0.0"),"")&amp;IF(12&lt;15,", ",""),"")&amp;IF(13&gt;$B$3,IFERROR(INDEX(Taxonomy!$M$5:$M$19,MATCH(INDEX(Scoring!$B$5:$B$19,MATCH(13,Scoring!$A$5:$A$19,0)),Taxonomy!$C$5:$C$19,0))&amp;" "&amp;TEXT(INDEX(Scoring!$J$5:$J$19,MATCH(13,Scoring!$A$5:$A$19,0)),"0.0"),"")&amp;IF(13&lt;15,", ",""),"")&amp;IF(14&gt;$B$3,IFERROR(INDEX(Taxonomy!$M$5:$M$19,MATCH(INDEX(Scoring!$B$5:$B$19,MATCH(14,Scoring!$A$5:$A$19,0)),Taxonomy!$C$5:$C$19,0))&amp;" "&amp;TEXT(INDEX(Scoring!$J$5:$J$19,MATCH(14,Scoring!$A$5:$A$19,0)),"0.0"),"")&amp;IF(14&lt;15,", ",""),"")&amp;IF(15&gt;$B$3,IFERROR(INDEX(Taxonomy!$M$5:$M$19,MATCH(INDEX(Scoring!$B$5:$B$19,MATCH(15,Scoring!$A$5:$A$19,0)),Taxonomy!$C$5:$C$19,0))&amp;" "&amp;TEXT(INDEX(Scoring!$J$5:$J$19,MATCH(15,Scoring!$A$5:$A$19,0)),"0.0"),"")&amp;IF(15&lt;15,", ",""),"")</f>
        <v>Water usage , Water quality , Water availability , Forestry , Agriculture , Fisheries , Nature-positive buildings , Green-blue infrastructure , Habitat protection , Risk reduction , Flood mitigation , Adaptation , Packaging , Waste and circular economy , Air and noise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3" min="2" style="0" width="10"/>
  </cols>
  <sheetData>
    <row r="1" customFormat="false" ht="17.35" hidden="false" customHeight="false" outlineLevel="0" collapsed="false">
      <c r="A1" s="1" t="s">
        <v>1300</v>
      </c>
    </row>
    <row r="2" customFormat="false" ht="15" hidden="false" customHeight="false" outlineLevel="0" collapsed="false">
      <c r="A2" s="10" t="s">
        <v>1301</v>
      </c>
    </row>
    <row r="4" customFormat="false" ht="15" hidden="false" customHeight="false" outlineLevel="0" collapsed="false">
      <c r="A4" s="4" t="s">
        <v>1302</v>
      </c>
      <c r="B4" s="4" t="s">
        <v>916</v>
      </c>
      <c r="C4" s="4" t="s">
        <v>1303</v>
      </c>
    </row>
    <row r="5" customFormat="false" ht="15" hidden="false" customHeight="false" outlineLevel="0" collapsed="false">
      <c r="A5" s="19" t="str">
        <f aca="false">IF(1&gt;Deck_Tokens!$B$3,"",1&amp;"   "&amp;INDEX(Scoring!$D$5:$D$19,MATCH(1,Scoring!$A$5:$A$19,0)))</f>
        <v/>
      </c>
      <c r="B5" s="25" t="str">
        <f aca="false">IF(1&gt;Deck_Tokens!$B$3,"",IF(INDEX(Scoring!$K$5:$K$19,MATCH(1,Scoring!$A$5:$A$19,0))="High",INDEX(Scoring!$J$5:$J$19,MATCH(1,Scoring!$A$5:$A$19,0)),""))</f>
        <v/>
      </c>
      <c r="C5" s="25" t="str">
        <f aca="false">IF(1&gt;Deck_Tokens!$B$3,"",IF(INDEX(Scoring!$K$5:$K$19,MATCH(1,Scoring!$A$5:$A$19,0))="Medium",INDEX(Scoring!$J$5:$J$19,MATCH(1,Scoring!$A$5:$A$19,0)),""))</f>
        <v/>
      </c>
    </row>
    <row r="6" customFormat="false" ht="15" hidden="false" customHeight="false" outlineLevel="0" collapsed="false">
      <c r="A6" s="19" t="str">
        <f aca="false">IF(2&gt;Deck_Tokens!$B$3,"",2&amp;"   "&amp;INDEX(Scoring!$D$5:$D$19,MATCH(2,Scoring!$A$5:$A$19,0)))</f>
        <v/>
      </c>
      <c r="B6" s="25" t="str">
        <f aca="false">IF(2&gt;Deck_Tokens!$B$3,"",IF(INDEX(Scoring!$K$5:$K$19,MATCH(2,Scoring!$A$5:$A$19,0))="High",INDEX(Scoring!$J$5:$J$19,MATCH(2,Scoring!$A$5:$A$19,0)),""))</f>
        <v/>
      </c>
      <c r="C6" s="25" t="str">
        <f aca="false">IF(2&gt;Deck_Tokens!$B$3,"",IF(INDEX(Scoring!$K$5:$K$19,MATCH(2,Scoring!$A$5:$A$19,0))="Medium",INDEX(Scoring!$J$5:$J$19,MATCH(2,Scoring!$A$5:$A$19,0)),""))</f>
        <v/>
      </c>
    </row>
    <row r="7" customFormat="false" ht="15" hidden="false" customHeight="false" outlineLevel="0" collapsed="false">
      <c r="A7" s="19" t="str">
        <f aca="false">IF(3&gt;Deck_Tokens!$B$3,"",3&amp;"   "&amp;INDEX(Scoring!$D$5:$D$19,MATCH(3,Scoring!$A$5:$A$19,0)))</f>
        <v/>
      </c>
      <c r="B7" s="25" t="str">
        <f aca="false">IF(3&gt;Deck_Tokens!$B$3,"",IF(INDEX(Scoring!$K$5:$K$19,MATCH(3,Scoring!$A$5:$A$19,0))="High",INDEX(Scoring!$J$5:$J$19,MATCH(3,Scoring!$A$5:$A$19,0)),""))</f>
        <v/>
      </c>
      <c r="C7" s="25" t="str">
        <f aca="false">IF(3&gt;Deck_Tokens!$B$3,"",IF(INDEX(Scoring!$K$5:$K$19,MATCH(3,Scoring!$A$5:$A$19,0))="Medium",INDEX(Scoring!$J$5:$J$19,MATCH(3,Scoring!$A$5:$A$19,0)),""))</f>
        <v/>
      </c>
    </row>
    <row r="8" customFormat="false" ht="15" hidden="false" customHeight="false" outlineLevel="0" collapsed="false">
      <c r="A8" s="19" t="str">
        <f aca="false">IF(4&gt;Deck_Tokens!$B$3,"",4&amp;"   "&amp;INDEX(Scoring!$D$5:$D$19,MATCH(4,Scoring!$A$5:$A$19,0)))</f>
        <v/>
      </c>
      <c r="B8" s="25" t="str">
        <f aca="false">IF(4&gt;Deck_Tokens!$B$3,"",IF(INDEX(Scoring!$K$5:$K$19,MATCH(4,Scoring!$A$5:$A$19,0))="High",INDEX(Scoring!$J$5:$J$19,MATCH(4,Scoring!$A$5:$A$19,0)),""))</f>
        <v/>
      </c>
      <c r="C8" s="25" t="str">
        <f aca="false">IF(4&gt;Deck_Tokens!$B$3,"",IF(INDEX(Scoring!$K$5:$K$19,MATCH(4,Scoring!$A$5:$A$19,0))="Medium",INDEX(Scoring!$J$5:$J$19,MATCH(4,Scoring!$A$5:$A$19,0)),""))</f>
        <v/>
      </c>
    </row>
    <row r="9" customFormat="false" ht="15" hidden="false" customHeight="false" outlineLevel="0" collapsed="false">
      <c r="A9" s="19" t="str">
        <f aca="false">IF(5&gt;Deck_Tokens!$B$3,"",5&amp;"   "&amp;INDEX(Scoring!$D$5:$D$19,MATCH(5,Scoring!$A$5:$A$19,0)))</f>
        <v/>
      </c>
      <c r="B9" s="25" t="str">
        <f aca="false">IF(5&gt;Deck_Tokens!$B$3,"",IF(INDEX(Scoring!$K$5:$K$19,MATCH(5,Scoring!$A$5:$A$19,0))="High",INDEX(Scoring!$J$5:$J$19,MATCH(5,Scoring!$A$5:$A$19,0)),""))</f>
        <v/>
      </c>
      <c r="C9" s="25" t="str">
        <f aca="false">IF(5&gt;Deck_Tokens!$B$3,"",IF(INDEX(Scoring!$K$5:$K$19,MATCH(5,Scoring!$A$5:$A$19,0))="Medium",INDEX(Scoring!$J$5:$J$19,MATCH(5,Scoring!$A$5:$A$19,0)),""))</f>
        <v/>
      </c>
    </row>
    <row r="10" customFormat="false" ht="15" hidden="false" customHeight="false" outlineLevel="0" collapsed="false">
      <c r="A10" s="19" t="str">
        <f aca="false">IF(6&gt;Deck_Tokens!$B$3,"",6&amp;"   "&amp;INDEX(Scoring!$D$5:$D$19,MATCH(6,Scoring!$A$5:$A$19,0)))</f>
        <v/>
      </c>
      <c r="B10" s="25" t="str">
        <f aca="false">IF(6&gt;Deck_Tokens!$B$3,"",IF(INDEX(Scoring!$K$5:$K$19,MATCH(6,Scoring!$A$5:$A$19,0))="High",INDEX(Scoring!$J$5:$J$19,MATCH(6,Scoring!$A$5:$A$19,0)),""))</f>
        <v/>
      </c>
      <c r="C10" s="25" t="str">
        <f aca="false">IF(6&gt;Deck_Tokens!$B$3,"",IF(INDEX(Scoring!$K$5:$K$19,MATCH(6,Scoring!$A$5:$A$19,0))="Medium",INDEX(Scoring!$J$5:$J$19,MATCH(6,Scoring!$A$5:$A$19,0)),""))</f>
        <v/>
      </c>
    </row>
    <row r="11" customFormat="false" ht="15" hidden="false" customHeight="false" outlineLevel="0" collapsed="false">
      <c r="A11" s="19" t="str">
        <f aca="false">IF(7&gt;Deck_Tokens!$B$3,"",7&amp;"   "&amp;INDEX(Scoring!$D$5:$D$19,MATCH(7,Scoring!$A$5:$A$19,0)))</f>
        <v/>
      </c>
      <c r="B11" s="25" t="str">
        <f aca="false">IF(7&gt;Deck_Tokens!$B$3,"",IF(INDEX(Scoring!$K$5:$K$19,MATCH(7,Scoring!$A$5:$A$19,0))="High",INDEX(Scoring!$J$5:$J$19,MATCH(7,Scoring!$A$5:$A$19,0)),""))</f>
        <v/>
      </c>
      <c r="C11" s="25" t="str">
        <f aca="false">IF(7&gt;Deck_Tokens!$B$3,"",IF(INDEX(Scoring!$K$5:$K$19,MATCH(7,Scoring!$A$5:$A$19,0))="Medium",INDEX(Scoring!$J$5:$J$19,MATCH(7,Scoring!$A$5:$A$19,0)),""))</f>
        <v/>
      </c>
    </row>
    <row r="12" customFormat="false" ht="15" hidden="false" customHeight="false" outlineLevel="0" collapsed="false">
      <c r="A12" s="19" t="str">
        <f aca="false">IF(8&gt;Deck_Tokens!$B$3,"",8&amp;"   "&amp;INDEX(Scoring!$D$5:$D$19,MATCH(8,Scoring!$A$5:$A$19,0)))</f>
        <v/>
      </c>
      <c r="B12" s="25" t="str">
        <f aca="false">IF(8&gt;Deck_Tokens!$B$3,"",IF(INDEX(Scoring!$K$5:$K$19,MATCH(8,Scoring!$A$5:$A$19,0))="High",INDEX(Scoring!$J$5:$J$19,MATCH(8,Scoring!$A$5:$A$19,0)),""))</f>
        <v/>
      </c>
      <c r="C12" s="25" t="str">
        <f aca="false">IF(8&gt;Deck_Tokens!$B$3,"",IF(INDEX(Scoring!$K$5:$K$19,MATCH(8,Scoring!$A$5:$A$19,0))="Medium",INDEX(Scoring!$J$5:$J$19,MATCH(8,Scoring!$A$5:$A$19,0)),""))</f>
        <v/>
      </c>
    </row>
    <row r="13" customFormat="false" ht="15" hidden="false" customHeight="false" outlineLevel="0" collapsed="false">
      <c r="A13" s="19" t="str">
        <f aca="false">IF(9&gt;Deck_Tokens!$B$3,"",9&amp;"   "&amp;INDEX(Scoring!$D$5:$D$19,MATCH(9,Scoring!$A$5:$A$19,0)))</f>
        <v/>
      </c>
      <c r="B13" s="25" t="str">
        <f aca="false">IF(9&gt;Deck_Tokens!$B$3,"",IF(INDEX(Scoring!$K$5:$K$19,MATCH(9,Scoring!$A$5:$A$19,0))="High",INDEX(Scoring!$J$5:$J$19,MATCH(9,Scoring!$A$5:$A$19,0)),""))</f>
        <v/>
      </c>
      <c r="C13" s="25" t="str">
        <f aca="false">IF(9&gt;Deck_Tokens!$B$3,"",IF(INDEX(Scoring!$K$5:$K$19,MATCH(9,Scoring!$A$5:$A$19,0))="Medium",INDEX(Scoring!$J$5:$J$19,MATCH(9,Scoring!$A$5:$A$19,0)),""))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70"/>
    <col collapsed="false" customWidth="true" hidden="false" outlineLevel="0" max="3" min="3" style="0" width="30"/>
  </cols>
  <sheetData>
    <row r="1" customFormat="false" ht="17.35" hidden="false" customHeight="false" outlineLevel="0" collapsed="false">
      <c r="A1" s="1" t="s">
        <v>1304</v>
      </c>
    </row>
    <row r="4" customFormat="false" ht="15" hidden="false" customHeight="false" outlineLevel="0" collapsed="false">
      <c r="A4" s="4" t="s">
        <v>1305</v>
      </c>
      <c r="B4" s="4" t="s">
        <v>996</v>
      </c>
      <c r="C4" s="4" t="s">
        <v>1306</v>
      </c>
    </row>
    <row r="5" customFormat="false" ht="15" hidden="false" customHeight="false" outlineLevel="0" collapsed="false">
      <c r="A5" s="19" t="n">
        <v>1</v>
      </c>
      <c r="B5" s="19" t="s">
        <v>1307</v>
      </c>
      <c r="C5" s="19" t="str">
        <f aca="false">IF(ISNUMBER(MATCH(Inputs!B6,Countries!A:A,0)),"Pass","Fail")</f>
        <v>Pass</v>
      </c>
    </row>
    <row r="6" customFormat="false" ht="15" hidden="false" customHeight="false" outlineLevel="0" collapsed="false">
      <c r="A6" s="19" t="n">
        <v>2</v>
      </c>
      <c r="B6" s="19" t="s">
        <v>1308</v>
      </c>
      <c r="C6" s="19" t="str">
        <f aca="false">IF(SUM(Taxonomy!G5:G19)&gt;0,"Pass","Fail – load Market_Examples for this country")</f>
        <v>Pass</v>
      </c>
    </row>
    <row r="7" customFormat="false" ht="15" hidden="false" customHeight="false" outlineLevel="0" collapsed="false">
      <c r="A7" s="19" t="n">
        <v>3</v>
      </c>
      <c r="B7" s="19" t="s">
        <v>1309</v>
      </c>
      <c r="C7" s="19" t="str">
        <f aca="false">IF(COUNT(Scoring!J5:J19)=15,"Pass",15-COUNT(Scoring!J5:J19)&amp;" missing")</f>
        <v>15 missing</v>
      </c>
    </row>
    <row r="8" customFormat="false" ht="15" hidden="false" customHeight="false" outlineLevel="0" collapsed="false">
      <c r="A8" s="19" t="n">
        <v>4</v>
      </c>
      <c r="B8" s="19" t="s">
        <v>1310</v>
      </c>
      <c r="C8" s="19" t="str">
        <f aca="false">IF(ABS(Rubric!C10-1)&lt;0.0001,"Pass","Fail")</f>
        <v>Pass</v>
      </c>
    </row>
    <row r="9" customFormat="false" ht="15" hidden="false" customHeight="false" outlineLevel="0" collapsed="false">
      <c r="A9" s="19" t="n">
        <v>5</v>
      </c>
      <c r="B9" s="19" t="s">
        <v>1311</v>
      </c>
      <c r="C9" s="19" t="str">
        <f aca="false">IF(SUMPRODUCT((Scoring!E5:E19&lt;&gt;"")*(Scoring!E5:E19&lt;=2)*(Scoring!F5:F19&gt;2))=0,"Pass","Fail")</f>
        <v>Pass</v>
      </c>
    </row>
    <row r="10" customFormat="false" ht="15" hidden="false" customHeight="false" outlineLevel="0" collapsed="false">
      <c r="A10" s="19" t="n">
        <v>6</v>
      </c>
      <c r="B10" s="19" t="s">
        <v>1312</v>
      </c>
      <c r="C10" s="19" t="str">
        <f aca="false">IF(COUNTA(Evidence_Log!A5:A304)=COUNTA(NBSAP_Mapping!A5:A304),"Pass","Mismatch")</f>
        <v>Pass</v>
      </c>
    </row>
    <row r="11" customFormat="false" ht="15" hidden="false" customHeight="false" outlineLevel="0" collapsed="false">
      <c r="A11" s="19" t="n">
        <v>7</v>
      </c>
      <c r="B11" s="19" t="s">
        <v>1313</v>
      </c>
      <c r="C11" s="19" t="str">
        <f aca="false">IF(SUMPRODUCT((Evidence_Log!A5:A304&lt;&gt;"")*((Evidence_Log!B5:B304="")+(Evidence_Log!C5:C304="")+(Evidence_Log!D5:D304="")))=0,"Pass","Fail")</f>
        <v>Pass</v>
      </c>
    </row>
    <row r="12" customFormat="false" ht="15" hidden="false" customHeight="false" outlineLevel="0" collapsed="false">
      <c r="A12" s="19" t="n">
        <v>8</v>
      </c>
      <c r="B12" s="19" t="s">
        <v>1314</v>
      </c>
      <c r="C12" s="19" t="str">
        <f aca="false">IF(SUMPRODUCT((NBSAP_Mapping!D5:D304&lt;&gt;"")*(NBSAP_Mapping!D5:D304&lt;&gt;"XC")*ISNA(MATCH(NBSAP_Mapping!D5:D304,Taxonomy!C5:C19,0)))=0,"Pass","Fail")</f>
        <v>Pass</v>
      </c>
    </row>
    <row r="13" customFormat="false" ht="15" hidden="false" customHeight="false" outlineLevel="0" collapsed="false">
      <c r="A13" s="19" t="n">
        <v>9</v>
      </c>
      <c r="B13" s="19" t="s">
        <v>1315</v>
      </c>
      <c r="C13" s="19" t="str">
        <f aca="false">IF(COUNTIF(Slide_Content!F5:F200,"Too long*")+COUNTIF(Slide_Content!F5:F200,"Missing")=0,"Pass",COUNTIF(Slide_Content!F5:F200,"Too long*")&amp;" too long, "&amp;COUNTIF(Slide_Content!F5:F200,"Missing")&amp;" missing")</f>
        <v>0 too long, 92 missing</v>
      </c>
    </row>
    <row r="14" customFormat="false" ht="15" hidden="false" customHeight="false" outlineLevel="0" collapsed="false">
      <c r="A14" s="19" t="n">
        <v>10</v>
      </c>
      <c r="B14" s="19" t="s">
        <v>1316</v>
      </c>
      <c r="C14" s="19" t="str">
        <f aca="false">IF(COUNTIF(Evidence_Log!G:G,"EXAMPLE*")+COUNTIF(NBSAP_Mapping!H:H,"EXAMPLE*")+COUNTIF(Sources!I:I,"EXAMPLE*")+COUNTIF(Client_Exposure!I:I,"*EXAMPLE")=0,"Pass","Delete EXAMPLE rows")</f>
        <v>Delete EXAMPLE rows</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2026-10-08T10:25:28Z</dcterms:created>
  <dc:creator>openpyxl</dc:creator>
  <dc:description/>
  <dc:language>en-US</dc:language>
  <cp:lastModifiedBy/>
  <dcterms:modified xsi:type="dcterms:W3CDTF">2026-10-08T10:25:28Z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