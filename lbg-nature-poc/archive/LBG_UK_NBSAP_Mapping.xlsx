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Sources" sheetId="3" state="visible" r:id="rId5"/>
    <sheet name="Taxonomy" sheetId="4" state="visible" r:id="rId6"/>
    <sheet name="NBSAP_Commitments" sheetId="5" state="visible" r:id="rId7"/>
    <sheet name="Evidence_Log" sheetId="6" state="visible" r:id="rId8"/>
    <sheet name="NBSAP_Mapping" sheetId="7" state="visible" r:id="rId9"/>
    <sheet name="Rubric" sheetId="8" state="visible" r:id="rId10"/>
    <sheet name="Scoring" sheetId="9" state="visible" r:id="rId11"/>
    <sheet name="Data_QA" sheetId="10" state="visible" r:id="rId12"/>
    <sheet name="QA_Log"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<sst xmlns="http://schemas.openxmlformats.org/spreadsheetml/2006/main" count="1200" uniqueCount="646">
  <si>
    <t xml:space="preserve">LBG x UK NBSAP nature priorities – proof of concept</t>
  </si>
  <si>
    <t xml:space="preserve">Purpose</t>
  </si>
  <si>
    <t xml:space="preserve">Map Lloyds Banking Group (LBG) public nature-related disclosures to the UK NBSAP themes and sub-themes in the EY NBSAP Nature Sizing workbook, score priorities with a fixed rubric, and support a 3-slide summary.</t>
  </si>
  <si>
    <t xml:space="preserve">As at</t>
  </si>
  <si>
    <t xml:space="preserve">7 October 2026</t>
  </si>
  <si>
    <t xml:space="preserve">Status</t>
  </si>
  <si>
    <t xml:space="preserve">Proof of concept. Based on two LBG public reports only; findings must be validated against LBG annual and sustainability reporting before external use.</t>
  </si>
  <si>
    <t xml:space="preserve">Taxonomy</t>
  </si>
  <si>
    <t xml:space="preserve">Theme (5) &gt; Sub-theme (15, = "Markets" in the EY workbook) &gt; Sub-market (80). Theme names are inferred from the market codes (W, AFF, UD, DM, P) and should be confirmed.</t>
  </si>
  <si>
    <t xml:space="preserve">How scores work</t>
  </si>
  <si>
    <t xml:space="preserve">Scoring tab. C1, C2 and C4 are analyst judgements (blue text) with rationale and Evidence_IDs. C3 and C5 are calculated from the UK NBSAP commitments in the EY workbook. Weights and bands sit in the Rubric tab and drive every score, tier and rank.</t>
  </si>
  <si>
    <t xml:space="preserve">Colour legend</t>
  </si>
  <si>
    <t xml:space="preserve">Blue text = analyst input. Black = formula. Green = pulled from another tab. Yellow fill = assumption to confirm.</t>
  </si>
  <si>
    <t xml:space="preserve">Tabs</t>
  </si>
  <si>
    <t xml:space="preserve">Inputs | Sources | Taxonomy | NBSAP_Commitments | Evidence_Log | NBSAP_Mapping | Rubric | Scoring | Data_QA | QA_Log</t>
  </si>
  <si>
    <t xml:space="preserve">Reuse for a new client</t>
  </si>
  <si>
    <t xml:space="preserve">Replace Inputs, Sources, Evidence_Log and NBSAP_Mapping; re-enter C1, C2 and C4 in Scoring; repoint NBSAP_Commitments to the new country. Keep Rubric unchanged for comparability.</t>
  </si>
  <si>
    <t xml:space="preserve">Important caveat</t>
  </si>
  <si>
    <t xml:space="preserve">NBSAP commitment values are indicative: they combine programmes with different timeframes and some may overlap (see Data_QA). Use them to compare sub-themes, not as an additive market size.</t>
  </si>
  <si>
    <t xml:space="preserve">Inputs</t>
  </si>
  <si>
    <t xml:space="preserve">Field</t>
  </si>
  <si>
    <t xml:space="preserve">Value</t>
  </si>
  <si>
    <t xml:space="preserve">Note</t>
  </si>
  <si>
    <t xml:space="preserve">Client</t>
  </si>
  <si>
    <t xml:space="preserve">Lloyds Banking Group (LBG)</t>
  </si>
  <si>
    <t xml:space="preserve">Country</t>
  </si>
  <si>
    <t xml:space="preserve">United Kingdom</t>
  </si>
  <si>
    <t xml:space="preserve">UK NBSAP = Environmental Improvement Plan 2025 (per EY workbook, Countries tab)</t>
  </si>
  <si>
    <t xml:space="preserve">Sector</t>
  </si>
  <si>
    <t xml:space="preserve">Banking and financial services</t>
  </si>
  <si>
    <t xml:space="preserve">Audience</t>
  </si>
  <si>
    <t xml:space="preserve">Internal (EY partner)</t>
  </si>
  <si>
    <t xml:space="preserve">Assumed – confirm</t>
  </si>
  <si>
    <t xml:space="preserve">As-at date</t>
  </si>
  <si>
    <t xml:space="preserve">07/10/2026</t>
  </si>
  <si>
    <t xml:space="preserve">Prepared by</t>
  </si>
  <si>
    <t xml:space="preserve">EY CCaSS (proof of concept)</t>
  </si>
  <si>
    <t xml:space="preserve">No individual names in client outputs</t>
  </si>
  <si>
    <t xml:space="preserve">Sources</t>
  </si>
  <si>
    <t xml:space="preserve">Source_ID</t>
  </si>
  <si>
    <t xml:space="preserve">Title</t>
  </si>
  <si>
    <t xml:space="preserve">Publisher</t>
  </si>
  <si>
    <t xml:space="preserve">Year</t>
  </si>
  <si>
    <t xml:space="preserve">Type</t>
  </si>
  <si>
    <t xml:space="preserve">Location</t>
  </si>
  <si>
    <t xml:space="preserve">Date accessed</t>
  </si>
  <si>
    <t xml:space="preserve">Included</t>
  </si>
  <si>
    <t xml:space="preserve">Reason / note</t>
  </si>
  <si>
    <t xml:space="preserve">SRC-01</t>
  </si>
  <si>
    <t xml:space="preserve">Working with nature: Integrating nature-based solutions across urban environments and landscapes</t>
  </si>
  <si>
    <t xml:space="preserve">Lloyds Banking Group, with input from the RSPB</t>
  </si>
  <si>
    <t xml:space="preserve">2024</t>
  </si>
  <si>
    <t xml:space="preserve">Thought leadership / position paper</t>
  </si>
  <si>
    <t xml:space="preserve">working-with-nature-report.pdf (provided by user)</t>
  </si>
  <si>
    <t xml:space="preserve">Y</t>
  </si>
  <si>
    <t xml:space="preserve">Published Oct 2024; at the edge of the 24-month window – still the most recent LBG nature-specific paper provided.</t>
  </si>
  <si>
    <t xml:space="preserve">SRC-02</t>
  </si>
  <si>
    <t xml:space="preserve">Built to Last: Climate resilient infrastructure needs transformative investment</t>
  </si>
  <si>
    <t xml:space="preserve">Lloyds Banking Group</t>
  </si>
  <si>
    <t xml:space="preserve">2026</t>
  </si>
  <si>
    <t xml:space="preserve">lbg-built-to-last-report.pdf (provided by user)</t>
  </si>
  <si>
    <t xml:space="preserve">Published Sep 2026. Includes three LBG-financed case studies.</t>
  </si>
  <si>
    <t xml:space="preserve">SRC-03</t>
  </si>
  <si>
    <t xml:space="preserve">NBSAP PowerBI Excel (NBSAP Nature Sizing tool input workbook)</t>
  </si>
  <si>
    <t xml:space="preserve">EY CCaSS (internal)</t>
  </si>
  <si>
    <t xml:space="preserve">2025</t>
  </si>
  <si>
    <t xml:space="preserve">NBSAP mapping / market sizing</t>
  </si>
  <si>
    <t xml:space="preserve">NBSAP_PowerBI_Excel.xlsx (provided by user)</t>
  </si>
  <si>
    <t xml:space="preserve">UK rows only (Country_ID = GBR). Underlying NBSAP: Environmental Improvement Plan 2025.</t>
  </si>
  <si>
    <t xml:space="preserve">—</t>
  </si>
  <si>
    <t xml:space="preserve">LBG Annual Report, Sustainability Report, climate/TNFD disclosures</t>
  </si>
  <si>
    <t xml:space="preserve">Annual / sustainability reporting</t>
  </si>
  <si>
    <t xml:space="preserve">Not provided</t>
  </si>
  <si>
    <t xml:space="preserve">N</t>
  </si>
  <si>
    <t xml:space="preserve">Not in scope of this POC. Recommended next step to validate C1 and C2 scores.</t>
  </si>
  <si>
    <t xml:space="preserve">Taxonomy – themes and sub-themes (from EY NBSAP workbook)</t>
  </si>
  <si>
    <t xml:space="preserve">Theme names inferred from codes – confirm. NBSAP link: only W01 is referenced in the EY workbook; others are indicative and must be verified against EIP 2025.</t>
  </si>
  <si>
    <t xml:space="preserve">Theme_ID</t>
  </si>
  <si>
    <t xml:space="preserve">Theme</t>
  </si>
  <si>
    <t xml:space="preserve">SubTheme_ID</t>
  </si>
  <si>
    <t xml:space="preserve">Sub-theme</t>
  </si>
  <si>
    <t xml:space="preserve">Definition</t>
  </si>
  <si>
    <t xml:space="preserve">ENCORE theme</t>
  </si>
  <si>
    <t xml:space="preserve">Sub-markets</t>
  </si>
  <si>
    <t xml:space="preserve">UK NBSAP link</t>
  </si>
  <si>
    <t xml:space="preserve">UK NBSAP commitments (no.)</t>
  </si>
  <si>
    <t xml:space="preserve">UK NBSAP commitments (£bn)</t>
  </si>
  <si>
    <t xml:space="preserve">Market_Opportunity_Score</t>
  </si>
  <si>
    <t xml:space="preserve">W</t>
  </si>
  <si>
    <t xml:space="preserve">Water</t>
  </si>
  <si>
    <t xml:space="preserve">W01</t>
  </si>
  <si>
    <t xml:space="preserve">Water usage</t>
  </si>
  <si>
    <t xml:space="preserve">Ensuring a sustainable supply of water to homes, the public and businesses</t>
  </si>
  <si>
    <t xml:space="preserve">Volume of water use</t>
  </si>
  <si>
    <t xml:space="preserve">WU01 AgTech and irrigation efficiency; WU02 Leak detection systems; WU03 Smart meters; WU04 Water cycle digitalisation; WU07 Industrial process water efficiency; WU08 Nuclear cooling water efficiency</t>
  </si>
  <si>
    <t xml:space="preserve">Goal 3: Water (EY workbook, p.47)</t>
  </si>
  <si>
    <t xml:space="preserve">W02</t>
  </si>
  <si>
    <t xml:space="preserve">Water quality</t>
  </si>
  <si>
    <t xml:space="preserve">Water quality refers to the chemical, physical, and biological characteristics of water, assessed in relation to its suitability for a specific use, such as drinking, ecosystem support, agriculture, industry, or recreation.</t>
  </si>
  <si>
    <t xml:space="preserve">Emissions of toxic pollutants to water and soil</t>
  </si>
  <si>
    <t xml:space="preserve">WU09 Wastewater treatment; WU10 Desalination; WU11 Water body conservation; WU12 Marine and coastal area protection; WU13 Groundwater abstraction; WU14 Wetland and peatland restoration and protection</t>
  </si>
  <si>
    <t xml:space="preserve">Goal 3: Water (indicative)</t>
  </si>
  <si>
    <t xml:space="preserve">W03</t>
  </si>
  <si>
    <t xml:space="preserve">Water availability</t>
  </si>
  <si>
    <t xml:space="preserve">Water availability refers to the amount of water that is physically present and accessible in a given area over a specified period of time.</t>
  </si>
  <si>
    <t xml:space="preserve">WU15 Water infrastructure upgrades; WU16 Water storage and drought response; WU18 Digitalisation of water management systems; WU19 Sewerage infrastructure</t>
  </si>
  <si>
    <t xml:space="preserve">AFF</t>
  </si>
  <si>
    <t xml:space="preserve">Agriculture, forestry and fisheries</t>
  </si>
  <si>
    <t xml:space="preserve">AFF01</t>
  </si>
  <si>
    <t xml:space="preserve">Sustainable forestry</t>
  </si>
  <si>
    <t xml:space="preserve">Sustainable forestry is the management of forests to generate long‑term economic returns while maintaining forest health, productivity, biodiversity, and carbon storage over time.</t>
  </si>
  <si>
    <t xml:space="preserve">Other biotic resource extraction (e.g. timber)</t>
  </si>
  <si>
    <t xml:space="preserve">FO01 Reforestation / forest regeneration; FO02 Afforestation / large-scale tree planting; FO03 Habitat restoration (incl. peatlands) in forest landscapes; FO04 Sustainable forest management &amp; biodiversity improvement; FO05 Agroforestry systems; FO06 Forestry sector modernisation finance (loans/guarantees/programmes)</t>
  </si>
  <si>
    <t xml:space="preserve">Thriving plants and wildlife; sustainable use of nature (indicative)</t>
  </si>
  <si>
    <t xml:space="preserve">AFF02</t>
  </si>
  <si>
    <t xml:space="preserve">Sustainable agriculture</t>
  </si>
  <si>
    <t xml:space="preserve">Sustainable agriculture is food and fibre production that maintains long‑term farm productivity and profitability while protecting soil, water, biodiversity, and resilience to climate and market risks.</t>
  </si>
  <si>
    <t xml:space="preserve">Area of land use</t>
  </si>
  <si>
    <t xml:space="preserve">FO07 Agri-environment &amp; sustainable farming schemes (payments/eco-schemes); FO08 Soil restoration &amp; regenerative practices; FO09 Ecosystem restoration in agricultural landscapes; FO10 Organic agriculture transition support; FO11 Controlled environment agriculture (greenhouses / vertical farming); FO12 Agro-ecology &amp; digital agriculture R&amp;D; FO13 Genetic resources &amp; agrobiodiversity stewardship</t>
  </si>
  <si>
    <t xml:space="preserve">Sustainable use of nature; farming (indicative)</t>
  </si>
  <si>
    <t xml:space="preserve">AFF03</t>
  </si>
  <si>
    <t xml:space="preserve">Sustainable fisheries and aquaculture</t>
  </si>
  <si>
    <t xml:space="preserve">Sustainable fisheries are fisheries managed so fish stocks remain healthy and economically viable over the long term, avoiding overfishing and minimising ecosystem damage.</t>
  </si>
  <si>
    <t xml:space="preserve">Other biotic resource extraction (e.g. fish)</t>
  </si>
  <si>
    <t xml:space="preserve">FO14 Sustainable fisheries management plans &amp; governance; FO15 Sustainable/green fishing &amp; aquaculture funding programmes; FO16 Fishing fleet modernisation &amp; new tech/equipment; FO17 Clean technology adoption for fisheries/aquaculture; FO18 Marine protected areas (MPAs) &amp; conservation finance; FO19 Blue economy partnerships &amp; international ocean governance; FO20 Aquaculture growth &amp; investment capital</t>
  </si>
  <si>
    <t xml:space="preserve">Sustainable use of nature; marine (indicative)</t>
  </si>
  <si>
    <t xml:space="preserve">UD</t>
  </si>
  <si>
    <t xml:space="preserve">Urban development and infrastructure</t>
  </si>
  <si>
    <t xml:space="preserve">UD01</t>
  </si>
  <si>
    <t xml:space="preserve">Nature-positive buildings</t>
  </si>
  <si>
    <t xml:space="preserve">Designing buildings and construction systems that reduce pressure on ecosystems and actively support biodiversity</t>
  </si>
  <si>
    <t xml:space="preserve">I1 Sustainable materials (certified timber, recycled &amp; bio‑based); I2 Green / nature‑inclusive building standards &amp; certification; I3 Biodiversity features (green roofs/walls, bird‑safe design, pollinator landscaping); I4 SuDS (sustainable drainage systems) &amp; stormwater nature‑based solutions (rain gardens, bioswales, permeable paving)</t>
  </si>
  <si>
    <t xml:space="preserve">Thriving plants and wildlife; nature in development (indicative)</t>
  </si>
  <si>
    <t xml:space="preserve">UD02</t>
  </si>
  <si>
    <t xml:space="preserve">Green-blue infrastructure, corridors and regeneration</t>
  </si>
  <si>
    <t xml:space="preserve">Economic activities that design, restore, and manage interconnected green and water‑based systems to enhance biodiversity, ecosystem connectivity, climate resilience, and nature‑positive urban and infrastructure regeneration.</t>
  </si>
  <si>
    <t xml:space="preserve">I5 Biodiversity friendly transmission corridors; I7 Green/blue corridors &amp; ecological connectivity (greenways, habitat corridors); I8 De‑sealing &amp; nature‑positive urban regeneration / public realm upgrades; I9 Green city infrastructure</t>
  </si>
  <si>
    <t xml:space="preserve">Thriving plants and wildlife; green infrastructure (indicative)</t>
  </si>
  <si>
    <t xml:space="preserve">UD03</t>
  </si>
  <si>
    <t xml:space="preserve">Land-use change and habitat protection</t>
  </si>
  <si>
    <t xml:space="preserve">Economic activities and interventions that prevent, reduce, or reverse the conversion and degradation of natural ecosystems by protecting habitats and influencing how land is allocated, managed, and conserved.</t>
  </si>
  <si>
    <t xml:space="preserve">I10 Urban waterways &amp; wetland restoration (incl. floodplain reconnection); I11 Urban greening programmes (parks, pocket parks, micro‑forests, tree canopies); I12 Habitat protection from building permissions/protection from land-use changes</t>
  </si>
  <si>
    <t xml:space="preserve">Thriving plants and wildlife; habitat protection (indicative)</t>
  </si>
  <si>
    <t xml:space="preserve">DM</t>
  </si>
  <si>
    <t xml:space="preserve">Disaster management and adaptation</t>
  </si>
  <si>
    <t xml:space="preserve">DM01</t>
  </si>
  <si>
    <t xml:space="preserve">Risk reduction and prevention</t>
  </si>
  <si>
    <t xml:space="preserve">Actions that protect, restore, or sustainably manage biodiversity and ecosystems to reduce the likelihood and intensity of hazards by addressing ecological degradation before risks materialise.</t>
  </si>
  <si>
    <t xml:space="preserve">Disturbance</t>
  </si>
  <si>
    <t xml:space="preserve">A01 River and coastal flood defences; A02 Flood retention areas and floodplain restoration; A03 Urban drainage upgrades and stormwater tunnels; A04 Landscape restoration to reduce erosion; A05 Drought-resilience water supply infrastructure; A06 Vegetation and fuel-load management; A07 Land-use and forest management to reduce fire severity</t>
  </si>
  <si>
    <t xml:space="preserve">Climate adaptation; environmental hazards (indicative)</t>
  </si>
  <si>
    <t xml:space="preserve">DM02</t>
  </si>
  <si>
    <t xml:space="preserve">Flood mitigation</t>
  </si>
  <si>
    <t xml:space="preserve">Flood mitigation refers to reducing the likelihood and impacts of flooding by working with natural systems—such as wetlands, floodplains, soils, and vegetation—to slow, store, and safely absorb excess water while enhancing ecosystem health.</t>
  </si>
  <si>
    <t xml:space="preserve">A08 Flood, drought, heatwave and wildfire early-warning systems; A09 Emergency coordination and crisis communication systems; A10 Heat health warning systems; A15 Flood risk management; A16 Sponge cities for flood reduction</t>
  </si>
  <si>
    <t xml:space="preserve">DM03</t>
  </si>
  <si>
    <t xml:space="preserve">Long-term adaptation and resilience</t>
  </si>
  <si>
    <t xml:space="preserve">Strategies that enhance the capacity of biodiversity and ecosystems to adapt to long‑term and compounding pressures, enabling them to withstand, recover from, and continue functioning under future environmental change.</t>
  </si>
  <si>
    <t xml:space="preserve">A11 Resilience upgrades to existing infrastructure; A12 Design standards to reduce overheating in buildings; A13 Ecosystem-based approaches</t>
  </si>
  <si>
    <t xml:space="preserve">Climate adaptation (indicative)</t>
  </si>
  <si>
    <t xml:space="preserve">P</t>
  </si>
  <si>
    <t xml:space="preserve">Pollution and waste</t>
  </si>
  <si>
    <t xml:space="preserve">P01</t>
  </si>
  <si>
    <t xml:space="preserve">Innovation in sustainable packaging and biodegradable materials</t>
  </si>
  <si>
    <t xml:space="preserve">The development and deployment of packaging designs and materials that reduce pollution by minimising resource use and safely breaking down through biological processes, thereby avoiding long‑term environmental persistence and harm to ecosystems.</t>
  </si>
  <si>
    <t xml:space="preserve">Generation and release of solid waste</t>
  </si>
  <si>
    <t xml:space="preserve">PL1 Sustainable packaging; PL2 Biodegradable materials</t>
  </si>
  <si>
    <t xml:space="preserve">Resources and waste (indicative)</t>
  </si>
  <si>
    <t xml:space="preserve">P02</t>
  </si>
  <si>
    <t xml:space="preserve">Waste &amp; circular economy</t>
  </si>
  <si>
    <t xml:space="preserve">Systems and practices that prevent waste generation by keeping materials and products in use at their highest value through reuse, repair, recycling, and regenerative design, reducing pollution and pressure on natural resources.</t>
  </si>
  <si>
    <t xml:space="preserve">PL3 Waste management &amp; recycling infrastructure; PL4 Circular economy systems; PL5 Plastic waste reduction; PL6 Chemical pollution management; PL7 Industrial waste &amp; hazardous waste</t>
  </si>
  <si>
    <t xml:space="preserve">P03</t>
  </si>
  <si>
    <t xml:space="preserve">Air pollution, disturbances &amp; noise pollution</t>
  </si>
  <si>
    <t xml:space="preserve">Emissions and physical disturbances arising from human activities—such as airborne pollutants, artificial noise, and other disruptions—that impair air quality and interfere with ecosystem functioning, species behaviour, and biodiversity health.</t>
  </si>
  <si>
    <t xml:space="preserve">Emissions of non-GHG air pollutants</t>
  </si>
  <si>
    <t xml:space="preserve">PL8 Transport noise reduction; PL9 Aviation noise mitigation; PL10 Urban noise monitoring &amp; mitigation; PL11 Development of technologies to reduce air pollution</t>
  </si>
  <si>
    <t xml:space="preserve">Clean air (indicative)</t>
  </si>
  <si>
    <t xml:space="preserve">Total</t>
  </si>
  <si>
    <t xml:space="preserve">UK NBSAP commitments (EY workbook, Market_Examples, Country_ID = GBR)</t>
  </si>
  <si>
    <t xml:space="preserve">Assigned to the sub-theme that owns each sub-market in the taxonomy. Values in original GBP (not the USD-converted columns).</t>
  </si>
  <si>
    <t xml:space="preserve">Example_ID</t>
  </si>
  <si>
    <t xml:space="preserve">Sub_Market_ID</t>
  </si>
  <si>
    <t xml:space="preserve">Sub-market</t>
  </si>
  <si>
    <t xml:space="preserve">Market_ID (as tagged)</t>
  </si>
  <si>
    <t xml:space="preserve">SubTheme_ID (taxonomy parent)</t>
  </si>
  <si>
    <t xml:space="preserve">Tag consistent?</t>
  </si>
  <si>
    <t xml:space="preserve">Commitment</t>
  </si>
  <si>
    <t xml:space="preserve">Value (GBP)</t>
  </si>
  <si>
    <t xml:space="preserve">Financing method</t>
  </si>
  <si>
    <t xml:space="preserve">Financial product</t>
  </si>
  <si>
    <t xml:space="preserve">Source</t>
  </si>
  <si>
    <t xml:space="preserve">M48</t>
  </si>
  <si>
    <t xml:space="preserve">FO03</t>
  </si>
  <si>
    <t xml:space="preserve">Habitat restoration (incl. peatlands) in forest landscapes</t>
  </si>
  <si>
    <t xml:space="preserve">Incentivise the planting of high-quality woodlands and trees outside of woodland between 2026 to 2027 and 2029 to 2030</t>
  </si>
  <si>
    <t xml:space="preserve">Grant financing</t>
  </si>
  <si>
    <t xml:space="preserve">Restricted funds</t>
  </si>
  <si>
    <t xml:space="preserve">NBSAP</t>
  </si>
  <si>
    <t xml:space="preserve">M49</t>
  </si>
  <si>
    <t xml:space="preserve">FO01</t>
  </si>
  <si>
    <t xml:space="preserve">Reforestation / forest regeneration</t>
  </si>
  <si>
    <t xml:space="preserve">Investments into new forests will see millions of trees planted in the years ahead as part of a wider commitment to tree planting and support to the forestry sector</t>
  </si>
  <si>
    <t xml:space="preserve">M50</t>
  </si>
  <si>
    <t xml:space="preserve">FO07</t>
  </si>
  <si>
    <t xml:space="preserve">Agri-environment &amp; sustainable farming schemes (payments/eco-schemes)</t>
  </si>
  <si>
    <t xml:space="preserve">Allocated to sustainable farming and Environmental Land Management schemes</t>
  </si>
  <si>
    <t xml:space="preserve">M51</t>
  </si>
  <si>
    <t xml:space="preserve">Farming and countryside programme to farmers and land managers</t>
  </si>
  <si>
    <t xml:space="preserve">M52</t>
  </si>
  <si>
    <t xml:space="preserve">FO16</t>
  </si>
  <si>
    <t xml:space="preserve">Fishing fleet modernisation &amp; new tech/equipment</t>
  </si>
  <si>
    <t xml:space="preserve">Investment in fishing and coastal growth fund (2025) over 12 years for modernising UK fishing fleet, new tech and equipment</t>
  </si>
  <si>
    <t xml:space="preserve">M01</t>
  </si>
  <si>
    <t xml:space="preserve">A03</t>
  </si>
  <si>
    <t xml:space="preserve">Urban drainage upgrades and stormwater tunnels</t>
  </si>
  <si>
    <t xml:space="preserve">Investment into storm overflows to deliver 50% reduction in spills</t>
  </si>
  <si>
    <t xml:space="preserve">Equity and debt finance</t>
  </si>
  <si>
    <t xml:space="preserve">Term debt and equity</t>
  </si>
  <si>
    <t xml:space="preserve">M09</t>
  </si>
  <si>
    <t xml:space="preserve">Reduce storm overflow discharges</t>
  </si>
  <si>
    <t xml:space="preserve">Plan for Water: our integrated plan for delivering clean and plentiful water - GOV.UK</t>
  </si>
  <si>
    <t xml:space="preserve">M143</t>
  </si>
  <si>
    <t xml:space="preserve">A01</t>
  </si>
  <si>
    <t xml:space="preserve">River and coastal flood defences</t>
  </si>
  <si>
    <t xml:space="preserve">Nature-based solutions are a key part of our approach to mitigating flood risk and coastal erosion. We will invest in natural flood management over 10 years</t>
  </si>
  <si>
    <t xml:space="preserve">M144</t>
  </si>
  <si>
    <t xml:space="preserve">A02</t>
  </si>
  <si>
    <t xml:space="preserve">Flood retention areas and floodplain restoration</t>
  </si>
  <si>
    <t xml:space="preserve">We inherited flood assets in their worst condition on record, with 92% of the Environment Agency’s 38,000 high consequence assets at required condition, which is why an additional amount is being re-prioritised into asset maintenance , ensuring an additional 14,500 properties will have their expected level of protection maintained or restored</t>
  </si>
  <si>
    <t xml:space="preserve">M145</t>
  </si>
  <si>
    <t xml:space="preserve">Better protect 52,000 properties from flooding by March 2026</t>
  </si>
  <si>
    <t xml:space="preserve">Flood and coastal erosion risk management: an investment plan for 2021 to 2027 - GOV.UK</t>
  </si>
  <si>
    <t xml:space="preserve">M146</t>
  </si>
  <si>
    <t xml:space="preserve">New 6-year flood and coastal defence investment programme in England between 2021 and 2027</t>
  </si>
  <si>
    <t xml:space="preserve">M142</t>
  </si>
  <si>
    <t xml:space="preserve">A11</t>
  </si>
  <si>
    <t xml:space="preserve">Resilience upgrades to existing infrastructure</t>
  </si>
  <si>
    <t xml:space="preserve">Create GBP DEFRA-UKRI joint research initiative to support adaptation action with research innovation</t>
  </si>
  <si>
    <t xml:space="preserve">M168</t>
  </si>
  <si>
    <t xml:space="preserve">PL1</t>
  </si>
  <si>
    <t xml:space="preserve">Sustainable packaging</t>
  </si>
  <si>
    <t xml:space="preserve">The Smart Sustainable Plastic Packaging Challenge (SSPP) contributed to the UK’s drive for clean growth and industrial decarbonisation by funding ground-breaking research and innovation to make plastic packaging fit for a sustainable future.</t>
  </si>
  <si>
    <t xml:space="preserve">Debt financing</t>
  </si>
  <si>
    <t xml:space="preserve">Term debt</t>
  </si>
  <si>
    <t xml:space="preserve">https://www.ukri.org/what-we-do/browse-our-areas-of-investment-and-support/smart-sustainable-plastic-packaging/</t>
  </si>
  <si>
    <t xml:space="preserve">M167</t>
  </si>
  <si>
    <t xml:space="preserve">PL4</t>
  </si>
  <si>
    <t xml:space="preserve">Circular economy systems</t>
  </si>
  <si>
    <t xml:space="preserve">Waste reforms, which include an overhaul of collection and packaging regimes, to generate investment in the circular economy</t>
  </si>
  <si>
    <t xml:space="preserve">M169</t>
  </si>
  <si>
    <t xml:space="preserve">PL11</t>
  </si>
  <si>
    <t xml:space="preserve">Development of technologies to reduce air pollution</t>
  </si>
  <si>
    <t xml:space="preserve">Fund the UK Shipping Office for Reducing Emissions (UK SHORE) programme by providing research and development funding to accelerate technologies necessary to addressing air quality impacts and supporting coastal communities and green growth.</t>
  </si>
  <si>
    <t xml:space="preserve">M170</t>
  </si>
  <si>
    <t xml:space="preserve">PL8</t>
  </si>
  <si>
    <t xml:space="preserve">Transport noise reduction</t>
  </si>
  <si>
    <t xml:space="preserve">Our maintenance programme, including track improvements and continual rail grinding to remove defects on the rail surface, helps to reduce noise and vibration.</t>
  </si>
  <si>
    <t xml:space="preserve">Reducing noise &amp; vibration - Transport for London</t>
  </si>
  <si>
    <t xml:space="preserve">M123</t>
  </si>
  <si>
    <t xml:space="preserve">I2</t>
  </si>
  <si>
    <t xml:space="preserve">Green / nature‑inclusive building standards &amp; certification</t>
  </si>
  <si>
    <t xml:space="preserve">London green roots fund - £12m programme (grants of £10-500k) to support parks, urban waterways, SuDS, rain gardens, green roofs, nature-based solutions linked to active travel</t>
  </si>
  <si>
    <t xml:space="preserve">Green Roots Fund | London City Hall</t>
  </si>
  <si>
    <t xml:space="preserve">M118</t>
  </si>
  <si>
    <t xml:space="preserve">I12</t>
  </si>
  <si>
    <t xml:space="preserve">Habitat protection from building permissions/protection from land-use changes</t>
  </si>
  <si>
    <t xml:space="preserve">Provide direct funding to Protected Landscapes organisations by April 2026 to support local action on nationally important priorities, including nature restoration and access for all</t>
  </si>
  <si>
    <t xml:space="preserve">M119</t>
  </si>
  <si>
    <t xml:space="preserve">I11</t>
  </si>
  <si>
    <t xml:space="preserve">Urban greening programmes (parks, pocket parks, micro‑forests, tree canopies)</t>
  </si>
  <si>
    <t xml:space="preserve">Continue to support councils with an investment to build and maintain walking and cycling infrastructure.</t>
  </si>
  <si>
    <t xml:space="preserve">M120</t>
  </si>
  <si>
    <t xml:space="preserve">I10</t>
  </si>
  <si>
    <t xml:space="preserve">Urban waterways &amp; wetland restoration (incl. floodplain reconnection)</t>
  </si>
  <si>
    <t xml:space="preserve">We will invest to construct new flood schemes and maintain and repair existing flood defences across the country.</t>
  </si>
  <si>
    <t xml:space="preserve">M121</t>
  </si>
  <si>
    <t xml:space="preserve">Government investment over 10 years from 2026 into the flood and coastal erosion prevention</t>
  </si>
  <si>
    <t xml:space="preserve">M122</t>
  </si>
  <si>
    <t xml:space="preserve">Create better facilities and infrastructure in the Public Forest Estate to increase the numbers of visitors and improve their experience.</t>
  </si>
  <si>
    <t xml:space="preserve">M02</t>
  </si>
  <si>
    <t xml:space="preserve">WU01</t>
  </si>
  <si>
    <t xml:space="preserve">AgTech and irrigation efficiency</t>
  </si>
  <si>
    <t xml:space="preserve">Water Management Grant to fund more on-farm reservoirs and better irrigation equipment</t>
  </si>
  <si>
    <t xml:space="preserve">More funding for farmers as new blueprint for water announced - GOV.UK</t>
  </si>
  <si>
    <t xml:space="preserve">M03</t>
  </si>
  <si>
    <t xml:space="preserve">WU02</t>
  </si>
  <si>
    <t xml:space="preserve">Leak detection systems</t>
  </si>
  <si>
    <t xml:space="preserve">Water efficient fund to support new water efficiency approaches between 2025 and 2030</t>
  </si>
  <si>
    <t xml:space="preserve">Accelerators</t>
  </si>
  <si>
    <t xml:space="preserve">MOSL responds to Ofwat's second consultation on its £100m water efficiency fund - MOSL</t>
  </si>
  <si>
    <t xml:space="preserve">M07</t>
  </si>
  <si>
    <t xml:space="preserve">Funding under Catchment Sensitive Farming programme to advise farmers on reducing pollution</t>
  </si>
  <si>
    <t xml:space="preserve">Catchment Sensitive Farming funding almost doubled to help farmers tackle water pollution - CIWEM</t>
  </si>
  <si>
    <t xml:space="preserve">M10</t>
  </si>
  <si>
    <t xml:space="preserve">Slurry Infrastructure Grant to reduce run-off</t>
  </si>
  <si>
    <t xml:space="preserve">M04</t>
  </si>
  <si>
    <t xml:space="preserve">WU09</t>
  </si>
  <si>
    <t xml:space="preserve">Wastewater treatment</t>
  </si>
  <si>
    <t xml:space="preserve">Funding for comprehensive cross border research to understand pollution and other pressures</t>
  </si>
  <si>
    <t xml:space="preserve">M05</t>
  </si>
  <si>
    <t xml:space="preserve">WU14</t>
  </si>
  <si>
    <t xml:space="preserve">Wetland and peatland restoration and protection</t>
  </si>
  <si>
    <t xml:space="preserve">Investment into restoration of chalk stream</t>
  </si>
  <si>
    <t xml:space="preserve">M08</t>
  </si>
  <si>
    <t xml:space="preserve">WU11</t>
  </si>
  <si>
    <t xml:space="preserve">Water body conservation</t>
  </si>
  <si>
    <t xml:space="preserve">Investment into vital infrastructure to improve the water quality of rivers, lakes and coastal waters and secure future water supplies</t>
  </si>
  <si>
    <t xml:space="preserve">M13</t>
  </si>
  <si>
    <t xml:space="preserve">Funding to support creation of new wetland habitats across catchments</t>
  </si>
  <si>
    <t xml:space="preserve">M14</t>
  </si>
  <si>
    <t xml:space="preserve">Investing in and improving and restoring our peatlands, supporting us in our long-term ambitions to unblock delivery for up to 23MtCO2e savings by 2050.</t>
  </si>
  <si>
    <t xml:space="preserve">M06</t>
  </si>
  <si>
    <t xml:space="preserve">WU15</t>
  </si>
  <si>
    <t xml:space="preserve">Water infrastructure upgrades</t>
  </si>
  <si>
    <t xml:space="preserve">Funding based on water fines and penalties into water environment</t>
  </si>
  <si>
    <t xml:space="preserve">M11</t>
  </si>
  <si>
    <t xml:space="preserve">Additional investment in new large-scale water infrastructure</t>
  </si>
  <si>
    <t xml:space="preserve">M12</t>
  </si>
  <si>
    <t xml:space="preserve">New water company infrastructure Delivery to start in the next 2 years – reducing the number of spills from storm overflows, nutrient pollution, and increasing water supply</t>
  </si>
  <si>
    <t xml:space="preserve">Evidence log</t>
  </si>
  <si>
    <t xml:space="preserve">All quotes checked word-for-word against the source PDFs (25 words or fewer).</t>
  </si>
  <si>
    <t xml:space="preserve">Evidence_ID</t>
  </si>
  <si>
    <t xml:space="preserve">Page/Section</t>
  </si>
  <si>
    <t xml:space="preserve">Verbatim quote</t>
  </si>
  <si>
    <t xml:space="preserve">Evidence type</t>
  </si>
  <si>
    <t xml:space="preserve">Scope</t>
  </si>
  <si>
    <t xml:space="preserve">Summary</t>
  </si>
  <si>
    <t xml:space="preserve">EV-001</t>
  </si>
  <si>
    <t xml:space="preserve">p.4</t>
  </si>
  <si>
    <t xml:space="preserve">As part of a ten-year partnership, Lloyds Banking Group has supported Soil Association Exchange</t>
  </si>
  <si>
    <t xml:space="preserve">Partnership</t>
  </si>
  <si>
    <t xml:space="preserve">Value chain / portfolio</t>
  </si>
  <si>
    <t xml:space="preserve">Ten-year partnership supporting a standardised farm environmental impact measurement and advice approach.</t>
  </si>
  <si>
    <t xml:space="preserve">EV-002</t>
  </si>
  <si>
    <t xml:space="preserve">To date, it has spanned 238,494 hectares of farmland across 685 farms</t>
  </si>
  <si>
    <t xml:space="preserve">Performance metric</t>
  </si>
  <si>
    <t xml:space="preserve">Coverage of 685 farms; six areas incl. soil, carbon, biodiversity and water; 4,000+ recommendations and 750+ actions.</t>
  </si>
  <si>
    <t xml:space="preserve">EV-003</t>
  </si>
  <si>
    <t xml:space="preserve">Lloyds Banking Group has donated £250,000 split between three nature recovery projects</t>
  </si>
  <si>
    <t xml:space="preserve">Products and services</t>
  </si>
  <si>
    <t xml:space="preserve">Founding business partner of Projects for Nature (England); philanthropic support for nature recovery.</t>
  </si>
  <si>
    <t xml:space="preserve">EV-004</t>
  </si>
  <si>
    <t xml:space="preserve">aims to deliver nature-based solutions to reduce flood risk, restore nature and mitigate climate change</t>
  </si>
  <si>
    <t xml:space="preserve">Resilient Glenderamackin (Cumbria), a Projects for Nature project using natural flood management.</t>
  </si>
  <si>
    <t xml:space="preserve">EV-005</t>
  </si>
  <si>
    <t xml:space="preserve">p.7</t>
  </si>
  <si>
    <t xml:space="preserve">Biodiversity Net Gain (BNG) became mandatory in England in February 2024 to ensure that all new developments deliver a 10% measurable positive impact on biodiversity</t>
  </si>
  <si>
    <t xml:space="preserve">Disclosure</t>
  </si>
  <si>
    <t xml:space="preserve">External driver</t>
  </si>
  <si>
    <t xml:space="preserve">Regulatory driver for development finance (housing, commercial real estate).</t>
  </si>
  <si>
    <t xml:space="preserve">EV-006</t>
  </si>
  <si>
    <t xml:space="preserve">Natural England has developed a Green Infrastructure Framework to help increase the amount of green cover to 40% in urban residential areas</t>
  </si>
  <si>
    <t xml:space="preserve">Policy driver for urban green infrastructure.</t>
  </si>
  <si>
    <t xml:space="preserve">EV-007</t>
  </si>
  <si>
    <t xml:space="preserve">p.9</t>
  </si>
  <si>
    <t xml:space="preserve">for every £1 invested in peatland restoration, the average expected returns are estimated to be at least £4.62 in economic and social benefits</t>
  </si>
  <si>
    <t xml:space="preserve">LBG cites cost-benefit evidence for NbS (also woodland £2.79, saltmarsh £1.31).</t>
  </si>
  <si>
    <t xml:space="preserve">EV-008</t>
  </si>
  <si>
    <t xml:space="preserve">p.13</t>
  </si>
  <si>
    <t xml:space="preserve">the finance gap to meet the UK’s nature related outcomes in the UK is £56 billion</t>
  </si>
  <si>
    <t xml:space="preserve">UK nature finance gap over the next decade (Green Finance Institute, cited by LBG).</t>
  </si>
  <si>
    <t xml:space="preserve">EV-009</t>
  </si>
  <si>
    <t xml:space="preserve">Financial drivers include an increasing focus on climate and nature related financial risks via the Taskforce for Nature based Financial Disclosures (TNFD)</t>
  </si>
  <si>
    <t xml:space="preserve">LBG recognises TNFD as a driver; no LBG TNFD disclosure in sources reviewed.</t>
  </si>
  <si>
    <t xml:space="preserve">EV-010</t>
  </si>
  <si>
    <t xml:space="preserve">p.14</t>
  </si>
  <si>
    <t xml:space="preserve">Mandate Schedule 3 of Flood and Water Management Act in England.</t>
  </si>
  <si>
    <t xml:space="preserve">Policy</t>
  </si>
  <si>
    <t xml:space="preserve">LBG policy ask: mandatory SuDS for new development.</t>
  </si>
  <si>
    <t xml:space="preserve">EV-011</t>
  </si>
  <si>
    <t xml:space="preserve">Unblock flows of green finance to UK farmers, and work with private actors to overcome the financial barriers to greater uptake of sustainable practices.</t>
  </si>
  <si>
    <t xml:space="preserve">LBG policy ask: blended finance for sustainable farming.</t>
  </si>
  <si>
    <t xml:space="preserve">EV-012</t>
  </si>
  <si>
    <t xml:space="preserve">Construct NbSuDs on their premises and in the wider environment to help alleviate flooding, treat wastewater, and improve local water quality.</t>
  </si>
  <si>
    <t xml:space="preserve">Recommended action for businesses and landowners (LBG clients).</t>
  </si>
  <si>
    <t xml:space="preserve">EV-013</t>
  </si>
  <si>
    <t xml:space="preserve">p.3</t>
  </si>
  <si>
    <t xml:space="preserve">Private financial institutions have a vital role to play in closing the finance gap for NbS.</t>
  </si>
  <si>
    <t xml:space="preserve">Positioning statement; no quantified NbS finance target in sources.</t>
  </si>
  <si>
    <t xml:space="preserve">EV-014</t>
  </si>
  <si>
    <t xml:space="preserve">p.12</t>
  </si>
  <si>
    <t xml:space="preserve">This NbS was completed at 35% lower cost than building a conventional solution.</t>
  </si>
  <si>
    <t xml:space="preserve">Yorkshire Water constructed wetland case study (not stated as LBG-financed).</t>
  </si>
  <si>
    <t xml:space="preserve">EV-015</t>
  </si>
  <si>
    <t xml:space="preserve">p.6</t>
  </si>
  <si>
    <t xml:space="preserve">helped contribute to the 63% reduction in phosphorus seen in the catchment</t>
  </si>
  <si>
    <t xml:space="preserve">High Oaks Farm catchment case study (not stated as LBG-financed).</t>
  </si>
  <si>
    <t xml:space="preserve">EV-016</t>
  </si>
  <si>
    <t xml:space="preserve">p.2</t>
  </si>
  <si>
    <t xml:space="preserve">more than £100 billion in sustainable and transition finance between 2027 and 2030, including for adaptation and resilience to climate change</t>
  </si>
  <si>
    <t xml:space="preserve">Quantified target</t>
  </si>
  <si>
    <t xml:space="preserve">Group-level finance target including adaptation; no nature-specific sub-target disclosed.</t>
  </si>
  <si>
    <t xml:space="preserve">EV-017</t>
  </si>
  <si>
    <t xml:space="preserve">Since 2022, we have provided over £80 billion of sustainable finance.</t>
  </si>
  <si>
    <t xml:space="preserve">Progress on sustainable finance; nature share not disclosed.</t>
  </si>
  <si>
    <t xml:space="preserve">EV-018</t>
  </si>
  <si>
    <t xml:space="preserve">identifies an estimated £11 billion annual gap in UK adaptation investment</t>
  </si>
  <si>
    <t xml:space="preserve">CCC (2026) adaptation investment gap: cooling, flood, drought.</t>
  </si>
  <si>
    <t xml:space="preserve">EV-019</t>
  </si>
  <si>
    <t xml:space="preserve">The 2026 drought exposed the vulnerability of the UK’s water infrastructure, with reservoir storage falling to 69% of capacity</t>
  </si>
  <si>
    <t xml:space="preserve">Drought risk to water supply.</t>
  </si>
  <si>
    <t xml:space="preserve">EV-020</t>
  </si>
  <si>
    <t xml:space="preserve">p.10</t>
  </si>
  <si>
    <t xml:space="preserve">the UK Government has committed £7.9 billion in the flood management sector from 2026 to 2036</t>
  </si>
  <si>
    <t xml:space="preserve">Public flood management pipeline (10-Year Infrastructure Strategy).</t>
  </si>
  <si>
    <t xml:space="preserve">EV-021</t>
  </si>
  <si>
    <t xml:space="preserve">The Nature Markets Framework targets £1 billion of private investment into nature in England annually by 2030</t>
  </si>
  <si>
    <t xml:space="preserve">Nature markets driver.</t>
  </si>
  <si>
    <t xml:space="preserve">EV-022</t>
  </si>
  <si>
    <t xml:space="preserve">p.11</t>
  </si>
  <si>
    <t xml:space="preserve">raising expectations for how UK banks and insurers identify and manage physical climate and transition risks</t>
  </si>
  <si>
    <t xml:space="preserve">PRA Supervisory Statement 5/25 (Dec 2025).</t>
  </si>
  <si>
    <t xml:space="preserve">EV-023</t>
  </si>
  <si>
    <t xml:space="preserve">p.15</t>
  </si>
  <si>
    <t xml:space="preserve">Scottish Widows, part of Lloyds Banking Group, is committing £120m of long-term debt finance.</t>
  </si>
  <si>
    <t xml:space="preserve">Financing or product</t>
  </si>
  <si>
    <t xml:space="preserve">HARP: c.£3bn Haweswater Aqueduct replacement securing water for c.2.5m people.</t>
  </si>
  <si>
    <t xml:space="preserve">EV-024</t>
  </si>
  <si>
    <t xml:space="preserve">A commitment to at least 10% Biodiversity Net Gain through United Utilities’ programme of work</t>
  </si>
  <si>
    <t xml:space="preserve">Nature outcome attached to an LBG-financed project (HARP).</t>
  </si>
  <si>
    <t xml:space="preserve">EV-025</t>
  </si>
  <si>
    <t xml:space="preserve">p.17</t>
  </si>
  <si>
    <t xml:space="preserve">Lloyds Bank and NatWest underwrote on the £238.5m financing for the construction</t>
  </si>
  <si>
    <t xml:space="preserve">Cleve Hill solar and battery: coastal flood defences and flood-resilient design.</t>
  </si>
  <si>
    <t xml:space="preserve">EV-026</t>
  </si>
  <si>
    <t xml:space="preserve">Designed to deliver a 65% Biodiversity Net Gain, the project includes a dedicated 56-hectare Habitat Management Area</t>
  </si>
  <si>
    <t xml:space="preserve">Nature outcome attached to an LBG-financed project (Cleve Hill).</t>
  </si>
  <si>
    <t xml:space="preserve">EV-027</t>
  </si>
  <si>
    <t xml:space="preserve">p.19</t>
  </si>
  <si>
    <t xml:space="preserve">Lloyds Banking Group will make up to £500m of new lending available to UK universities.</t>
  </si>
  <si>
    <t xml:space="preserve">Higher Education Retrofit Programme with National Wealth Fund (£350m guarantee).</t>
  </si>
  <si>
    <t xml:space="preserve">EV-028</t>
  </si>
  <si>
    <t xml:space="preserve">Criteria behind the fund includes projects to support water efficiency and biodiversity, this includes measures such as habitat creation, tree and hedgerow plantation.</t>
  </si>
  <si>
    <t xml:space="preserve">Nature and water criteria embedded in a lending product.</t>
  </si>
  <si>
    <t xml:space="preserve">EV-029</t>
  </si>
  <si>
    <t xml:space="preserve">Measure to enhance resilience to flooding and heatwaves are included in the fund criteria.</t>
  </si>
  <si>
    <t xml:space="preserve">Adaptation criteria in the same lending product.</t>
  </si>
  <si>
    <t xml:space="preserve">EV-030</t>
  </si>
  <si>
    <t xml:space="preserve">Advancing data and analytics – allows financial institutions to better assess asset-level resilience and integrate physical risk considerations into financial decision-making.</t>
  </si>
  <si>
    <t xml:space="preserve">Governance</t>
  </si>
  <si>
    <t xml:space="preserve">LBG identifies data and analytics as a capability need.</t>
  </si>
  <si>
    <t xml:space="preserve">EV-031</t>
  </si>
  <si>
    <t xml:space="preserve">Improving leakage rates in water system</t>
  </si>
  <si>
    <t xml:space="preserve">CCC priority action (Box 1): avoiding water shortages.</t>
  </si>
  <si>
    <t xml:space="preserve">EV-032</t>
  </si>
  <si>
    <t xml:space="preserve">There is a $100–130 billion adaptation financing opportunity for banks</t>
  </si>
  <si>
    <t xml:space="preserve">Market opportunity for adaptation finance (BCG 2026, cited by LBG).</t>
  </si>
  <si>
    <t xml:space="preserve">EV-033</t>
  </si>
  <si>
    <t xml:space="preserve">p.21</t>
  </si>
  <si>
    <t xml:space="preserve">integrating physical climate risks into lending, investment and insurance decisions</t>
  </si>
  <si>
    <t xml:space="preserve">LBG recommendation for the finance sector; no LBG nature-risk methodology disclosed.</t>
  </si>
  <si>
    <t xml:space="preserve">Mapping of evidence to taxonomy and UK NBSAP</t>
  </si>
  <si>
    <t xml:space="preserve">Evidence class: Client action (what LBG has done) | Client position (what LBG says or advocates) | External driver (regulation/market context cited by LBG). XC = cross-cutting.</t>
  </si>
  <si>
    <t xml:space="preserve">Evidence class</t>
  </si>
  <si>
    <t xml:space="preserve">Primary SubTheme_ID</t>
  </si>
  <si>
    <t xml:space="preserve">Primary Sub_Market_ID</t>
  </si>
  <si>
    <t xml:space="preserve">Secondary SubTheme_ID</t>
  </si>
  <si>
    <t xml:space="preserve">Mapping strength</t>
  </si>
  <si>
    <t xml:space="preserve">Rationale</t>
  </si>
  <si>
    <t xml:space="preserve">Client action</t>
  </si>
  <si>
    <t xml:space="preserve">FO08</t>
  </si>
  <si>
    <t xml:space="preserve">Direct</t>
  </si>
  <si>
    <t xml:space="preserve">Farm environmental baseline and advice directly supports regenerative practice.</t>
  </si>
  <si>
    <t xml:space="preserve">Quantified reach across 685 farms incl. soil, biodiversity and water.</t>
  </si>
  <si>
    <t xml:space="preserve">Indirect</t>
  </si>
  <si>
    <t xml:space="preserve">Philanthropic support for nature recovery; not a financing activity.</t>
  </si>
  <si>
    <t xml:space="preserve">Natural flood management: river re-meandering, wetlands, tree planting.</t>
  </si>
  <si>
    <t xml:space="preserve">BNG mandates habitat outcomes for new development.</t>
  </si>
  <si>
    <t xml:space="preserve">I9</t>
  </si>
  <si>
    <t xml:space="preserve">Green cover target for urban areas.</t>
  </si>
  <si>
    <t xml:space="preserve">Client position</t>
  </si>
  <si>
    <t xml:space="preserve">Cost-benefit evidence for peatland and woodland; no financing linked.</t>
  </si>
  <si>
    <t xml:space="preserve">XC</t>
  </si>
  <si>
    <t xml:space="preserve">Cross-cutting UK nature finance gap.</t>
  </si>
  <si>
    <t xml:space="preserve">Cross-cutting disclosure driver.</t>
  </si>
  <si>
    <t xml:space="preserve">I4</t>
  </si>
  <si>
    <t xml:space="preserve">SuDS in new buildings and developments.</t>
  </si>
  <si>
    <t xml:space="preserve">Green and blended finance for sustainable farming.</t>
  </si>
  <si>
    <t xml:space="preserve">NbSuDS on premises improve drainage and water quality.</t>
  </si>
  <si>
    <t xml:space="preserve">General NbS finance positioning.</t>
  </si>
  <si>
    <t xml:space="preserve">Wetland wastewater treatment case study in LBG paper.</t>
  </si>
  <si>
    <t xml:space="preserve">Catchment phosphorus reduction case study in LBG paper.</t>
  </si>
  <si>
    <t xml:space="preserve">Group-level target covering adaptation; nature share not specified.</t>
  </si>
  <si>
    <t xml:space="preserve">Group-level sustainable finance progress.</t>
  </si>
  <si>
    <t xml:space="preserve">A13</t>
  </si>
  <si>
    <t xml:space="preserve">National adaptation investment gap.</t>
  </si>
  <si>
    <t xml:space="preserve">WU16</t>
  </si>
  <si>
    <t xml:space="preserve">Drought and water storage pressure.</t>
  </si>
  <si>
    <t xml:space="preserve">Public flood defence pipeline.</t>
  </si>
  <si>
    <t xml:space="preserve">Private investment target for nature markets.</t>
  </si>
  <si>
    <t xml:space="preserve">A15</t>
  </si>
  <si>
    <t xml:space="preserve">Prudential expectation on physical risk management.</t>
  </si>
  <si>
    <t xml:space="preserve">Long-term debt for water supply infrastructure renewal.</t>
  </si>
  <si>
    <t xml:space="preserve">Project-level BNG commitment in financed asset.</t>
  </si>
  <si>
    <t xml:space="preserve">Flood-resilient design financed as part of the asset.</t>
  </si>
  <si>
    <t xml:space="preserve">Habitat creation and BNG in financed asset.</t>
  </si>
  <si>
    <t xml:space="preserve">A12</t>
  </si>
  <si>
    <t xml:space="preserve">Retrofit lending supports overheating and resilience upgrades.</t>
  </si>
  <si>
    <t xml:space="preserve">I3</t>
  </si>
  <si>
    <t xml:space="preserve">Biodiversity features and water efficiency in lending criteria.</t>
  </si>
  <si>
    <t xml:space="preserve">Flood and heat resilience criteria in lending product.</t>
  </si>
  <si>
    <t xml:space="preserve">Capability need: physical risk data and analytics.</t>
  </si>
  <si>
    <t xml:space="preserve">Leakage reduction priority.</t>
  </si>
  <si>
    <t xml:space="preserve">Adaptation finance opportunity for banks.</t>
  </si>
  <si>
    <t xml:space="preserve">Advocates physical-risk integration in lending.</t>
  </si>
  <si>
    <t xml:space="preserve">Scoring rubric</t>
  </si>
  <si>
    <t xml:space="preserve">Code</t>
  </si>
  <si>
    <t xml:space="preserve">Criterion</t>
  </si>
  <si>
    <t xml:space="preserve">Weight</t>
  </si>
  <si>
    <t xml:space="preserve">What a 5 / 1 means</t>
  </si>
  <si>
    <t xml:space="preserve">C1</t>
  </si>
  <si>
    <t xml:space="preserve">Materiality to client</t>
  </si>
  <si>
    <t xml:space="preserve">5 = core business line or large portfolio share; 1 = no identifiable relevance in sources</t>
  </si>
  <si>
    <t xml:space="preserve">C2</t>
  </si>
  <si>
    <t xml:space="preserve">Action gap</t>
  </si>
  <si>
    <t xml:space="preserve">5 = material but no disclosed action; 3 = commitments without targets; 1 = quantified targets with reported progress. Capped at 2 when C1 is 2 or less.</t>
  </si>
  <si>
    <t xml:space="preserve">C3</t>
  </si>
  <si>
    <t xml:space="preserve">NBSAP emphasis</t>
  </si>
  <si>
    <t xml:space="preserve">From number of UK NBSAP commitments in the EY workbook (bands below)</t>
  </si>
  <si>
    <t xml:space="preserve">C4</t>
  </si>
  <si>
    <t xml:space="preserve">Regulatory and market momentum</t>
  </si>
  <si>
    <t xml:space="preserve">5 = mandatory requirements in force or confirmed; 1 = none identified in sources</t>
  </si>
  <si>
    <t xml:space="preserve">C5</t>
  </si>
  <si>
    <t xml:space="preserve">Market opportunity</t>
  </si>
  <si>
    <t xml:space="preserve">From UK NBSAP commitment value (£bn) in the EY workbook (bands below)</t>
  </si>
  <si>
    <t xml:space="preserve">Total weight</t>
  </si>
  <si>
    <t xml:space="preserve">Tiers</t>
  </si>
  <si>
    <t xml:space="preserve">High: score at least</t>
  </si>
  <si>
    <t xml:space="preserve">Medium: score at least</t>
  </si>
  <si>
    <t xml:space="preserve">Low: below Medium threshold</t>
  </si>
  <si>
    <t xml:space="preserve">Tie-break: higher C1, then higher C2, then more client evidence items.</t>
  </si>
  <si>
    <t xml:space="preserve">Confidence</t>
  </si>
  <si>
    <t xml:space="preserve">High: 3+ client evidence items (action or position) from 2+ sources with at least one Direct mapping. Medium: 1+ client items otherwise. Low: no client evidence.</t>
  </si>
  <si>
    <t xml:space="preserve">C3 bands</t>
  </si>
  <si>
    <t xml:space="preserve">UK NBSAP commitments (no.) at least</t>
  </si>
  <si>
    <t xml:space="preserve">Score</t>
  </si>
  <si>
    <t xml:space="preserve">C5 bands</t>
  </si>
  <si>
    <t xml:space="preserve">UK NBSAP commitments (£bn) at least (score)</t>
  </si>
  <si>
    <t xml:space="preserve">Score 5</t>
  </si>
  <si>
    <t xml:space="preserve">Score 4</t>
  </si>
  <si>
    <t xml:space="preserve">Score 3</t>
  </si>
  <si>
    <t xml:space="preserve">Score 2</t>
  </si>
  <si>
    <t xml:space="preserve">Score 1</t>
  </si>
  <si>
    <t xml:space="preserve">below £0.1bn</t>
  </si>
  <si>
    <t xml:space="preserve">Scoring and ranking</t>
  </si>
  <si>
    <t xml:space="preserve">Blue = analyst judgement (C1, C2, C4). C3 and C5 calculate from Taxonomy. Change weights or bands in Rubric.</t>
  </si>
  <si>
    <t xml:space="preserve">Rank</t>
  </si>
  <si>
    <t xml:space="preserve">C1 Materiality</t>
  </si>
  <si>
    <t xml:space="preserve">C2 Action gap</t>
  </si>
  <si>
    <t xml:space="preserve">C3 NBSAP emphasis</t>
  </si>
  <si>
    <t xml:space="preserve">C4 Regulatory &amp; market momentum</t>
  </si>
  <si>
    <t xml:space="preserve">C5 Market opportunity</t>
  </si>
  <si>
    <t xml:space="preserve">Weighted score</t>
  </si>
  <si>
    <t xml:space="preserve">Tier</t>
  </si>
  <si>
    <t xml:space="preserve">Client evidence (no.)</t>
  </si>
  <si>
    <t xml:space="preserve">Client sources (no.)</t>
  </si>
  <si>
    <t xml:space="preserve">Direct mappings (no.)</t>
  </si>
  <si>
    <t xml:space="preserve">Evidence_IDs</t>
  </si>
  <si>
    <t xml:space="preserve">Sort key</t>
  </si>
  <si>
    <t xml:space="preserve">EV-004, EV-020, EV-023 (sec.), EV-025 (sec.)</t>
  </si>
  <si>
    <t xml:space="preserve">C1: flood and drought resilience is the core of Built to Last; Cleve Hill and HARP financed. C2: deal-level action within group £100bn target, no adaptation-specific target. C4: PRA SS5/25, £7.9bn flood pipeline.</t>
  </si>
  <si>
    <t xml:space="preserve">EV-003, EV-005, EV-021, EV-024, EV-026</t>
  </si>
  <si>
    <t xml:space="preserve">C1: project-level BNG (10%, 65%) and £250k Projects for Nature. C2: no portfolio habitat or BNG commitment. C4: BNG mandatory since Feb 2024.</t>
  </si>
  <si>
    <t xml:space="preserve">EV-019, EV-023, EV-024 (sec.)</t>
  </si>
  <si>
    <t xml:space="preserve">C1: £120m long-term debt to HARP; drought highlighted as material. C2: deal-level action, no water target. C4: Ofwat direct procurement, 2026 drought.</t>
  </si>
  <si>
    <t xml:space="preserve">EV-001, EV-002, EV-011</t>
  </si>
  <si>
    <t xml:space="preserve">C1: ten-year Soil Association Exchange partnership (685 farms); LBG calls for green finance to farmers. C2: reach metrics but no portfolio target. C4: land management schemes, nature markets.</t>
  </si>
  <si>
    <t xml:space="preserve">EV-007, EV-012 (sec.), EV-014, EV-015</t>
  </si>
  <si>
    <t xml:space="preserve">C1: water quality central to LBG NbS paper but no linked financing. C2: thought leadership only. C4: nutrient neutrality and phosphorus standards cited.</t>
  </si>
  <si>
    <t xml:space="preserve">EV-028 (sec.), EV-031</t>
  </si>
  <si>
    <t xml:space="preserve">C1: water efficiency appears only in university fund criteria (EY view: moderate relevance to utility and real estate lending). C2: no commitments. C4: CCC leakage priority.</t>
  </si>
  <si>
    <t xml:space="preserve">EV-018, EV-025, EV-027, EV-029</t>
  </si>
  <si>
    <t xml:space="preserve">C1: £500m retrofit with heat and flood criteria; Cleve Hill resilient design. C2: product exists, no adaptation target. C4: CCC Well Adapted UK, PRA SS5/25.</t>
  </si>
  <si>
    <t xml:space="preserve">EV-022, EV-033</t>
  </si>
  <si>
    <t xml:space="preserve">C1: flood risk material to mortgage and property lending (EY view). C2: advocates physical-risk integration, no approach disclosed. C4: PRA SS5/25.</t>
  </si>
  <si>
    <t xml:space="preserve">EV-010, EV-012, EV-028</t>
  </si>
  <si>
    <t xml:space="preserve">C1: £500m retrofit lending with biodiversity criteria; SuDS advocacy. C2: product criteria, no target. C4: BNG mandatory; Schedule 3 not yet mandated.</t>
  </si>
  <si>
    <t xml:space="preserve">EV-006, EV-026 (sec.)</t>
  </si>
  <si>
    <t xml:space="preserve">C1: urban green-blue infrastructure discussed extensively; limited financing evidence. C2: advocacy only. C4: Green Infrastructure Framework, BNG.</t>
  </si>
  <si>
    <t xml:space="preserve">EV-007 (sec.)</t>
  </si>
  <si>
    <t xml:space="preserve">C1: woodland and hedgerow benefits cited only. C2: capped (C1 ≤ 2). C4: Nature Markets Framework.</t>
  </si>
  <si>
    <t xml:space="preserve">C1: air quality cited only as an NbS co-benefit. C2: capped (C1 ≤ 2). C4: limited drivers in sources.</t>
  </si>
  <si>
    <t xml:space="preserve">No evidence identified in public sources reviewed.</t>
  </si>
  <si>
    <t xml:space="preserve">Data quality observations on the EY NBSAP workbook (UK rows)</t>
  </si>
  <si>
    <t xml:space="preserve">#</t>
  </si>
  <si>
    <t xml:space="preserve">Tab</t>
  </si>
  <si>
    <t xml:space="preserve">Issue</t>
  </si>
  <si>
    <t xml:space="preserve">Example</t>
  </si>
  <si>
    <t xml:space="preserve">Impact</t>
  </si>
  <si>
    <t xml:space="preserve">Suggested fix</t>
  </si>
  <si>
    <t xml:space="preserve">Market_Size</t>
  </si>
  <si>
    <t xml:space="preserve">Double currency conversion: Market_Size_Value (labelled GBP) equals the sum of USD values, which is then multiplied by 1.32 again.</t>
  </si>
  <si>
    <t xml:space="preserve">UKW01: Market_Size_Value 229,680,000 = USD sum; GBP commitments total £174m; USD Value shows $303m.</t>
  </si>
  <si>
    <t xml:space="preserve">UK market sizes in USD overstated by c.32%.</t>
  </si>
  <si>
    <t xml:space="preserve">Sum original GBP values, then convert once.</t>
  </si>
  <si>
    <t xml:space="preserve">UKDM02 shows GBP value 0 but USD value 27,057,000,000 (equal to DM01).</t>
  </si>
  <si>
    <t xml:space="preserve">UKDM02 row.</t>
  </si>
  <si>
    <t xml:space="preserve">Flood mitigation appears as a $27bn market in USD outputs.</t>
  </si>
  <si>
    <t xml:space="preserve">Correct formula reference for DM02.</t>
  </si>
  <si>
    <t xml:space="preserve">Market_Examples</t>
  </si>
  <si>
    <t xml:space="preserve">Market_ID tag does not match the parent market of the Sub_Market_ID.</t>
  </si>
  <si>
    <t xml:space="preserve">M143, M144, M145, M146 (A01/A02 belong to DM01, tagged DM02); M123 (I2 belongs to UD01, tagged UD02); M13 (WU14 belongs to W02, tagged W03).</t>
  </si>
  <si>
    <t xml:space="preserve">Sub-theme totals differ depending on which field is used.</t>
  </si>
  <si>
    <t xml:space="preserve">Align tags to taxonomy; this analysis uses the sub-market parent.</t>
  </si>
  <si>
    <t xml:space="preserve">Flood defence programmes classified under UD03 / I10 (urban waterways and wetland restoration).</t>
  </si>
  <si>
    <t xml:space="preserve">M120 (£4.2bn) and M121 (£10.5bn) flood and coastal programmes.</t>
  </si>
  <si>
    <t xml:space="preserve">Inflates UD03 (habitat protection) and understates DM01.</t>
  </si>
  <si>
    <t xml:space="preserve">Consider re-tagging to DM01 / A01.</t>
  </si>
  <si>
    <t xml:space="preserve">Possible overlapping commitments.</t>
  </si>
  <si>
    <t xml:space="preserve">M145 (£2.65bn, 52,000 properties) appears to sit within M146 (£5.2bn FCERM programme 2021–27); M01 and M09 both cover storm overflows.</t>
  </si>
  <si>
    <t xml:space="preserve">Totals may double count.</t>
  </si>
  <si>
    <t xml:space="preserve">Flag overlaps; treat totals as indicative.</t>
  </si>
  <si>
    <t xml:space="preserve">NBSAP_Markets</t>
  </si>
  <si>
    <t xml:space="preserve">Only UK W01 has an NBSAP target reference and policy signal strength.</t>
  </si>
  <si>
    <t xml:space="preserve">All other UK markets blank.</t>
  </si>
  <si>
    <t xml:space="preserve">NBSAP goal links for 14 of 15 sub-themes are indicative.</t>
  </si>
  <si>
    <t xml:space="preserve">Complete NBSAP_Target_Ref for all UK markets from EIP 2025.</t>
  </si>
  <si>
    <t xml:space="preserve">Countries</t>
  </si>
  <si>
    <t xml:space="preserve">United Kingdom region recorded as "EU".</t>
  </si>
  <si>
    <t xml:space="preserve">GBR row.</t>
  </si>
  <si>
    <t xml:space="preserve">Regional filters in Power BI may misclassify the UK.</t>
  </si>
  <si>
    <t xml:space="preserve">Change to "Europe (non-EU)" or similar.</t>
  </si>
  <si>
    <t xml:space="preserve">Year stored as number in some rows and text in others.</t>
  </si>
  <si>
    <t xml:space="preserve">UKW01 = 2025 (number); UKW02 = "2025" (text).</t>
  </si>
  <si>
    <t xml:space="preserve">Power BI filtering by year may miss rows.</t>
  </si>
  <si>
    <t xml:space="preserve">Standardise data type.</t>
  </si>
  <si>
    <t xml:space="preserve">Quality assurance checklist</t>
  </si>
  <si>
    <t xml:space="preserve">Check</t>
  </si>
  <si>
    <t xml:space="preserve">Result</t>
  </si>
  <si>
    <t xml:space="preserve">Formula / note</t>
  </si>
  <si>
    <t xml:space="preserve">All 15 sub-themes in the Taxonomy appear in Scoring</t>
  </si>
  <si>
    <t xml:space="preserve">Formula</t>
  </si>
  <si>
    <t xml:space="preserve">Every evidence item has a source, page and quote</t>
  </si>
  <si>
    <t xml:space="preserve">Quotes are verbatim and 25 words or fewer</t>
  </si>
  <si>
    <t xml:space="preserve">Pass</t>
  </si>
  <si>
    <t xml:space="preserve">Checked with a script against the PDF text layer</t>
  </si>
  <si>
    <t xml:space="preserve">Weights total 100%</t>
  </si>
  <si>
    <t xml:space="preserve">C2 cap respected (C2 ≤ 2 where C1 ≤ 2)</t>
  </si>
  <si>
    <t xml:space="preserve">Every evidence item is mapped</t>
  </si>
  <si>
    <t xml:space="preserve">Ranks are unique</t>
  </si>
  <si>
    <t xml:space="preserve">Slide figures match workbook</t>
  </si>
  <si>
    <t xml:space="preserve">Checked manually after deck build</t>
  </si>
  <si>
    <t xml:space="preserve">UK English, neutral tone; interpretation labelled "EY view"</t>
  </si>
  <si>
    <t xml:space="preserve">Manual review</t>
  </si>
  <si>
    <t xml:space="preserve">Low-confidence scores flagged</t>
  </si>
</sst>
</file>

<file path=xl/styles.xml><?xml version="1.0" encoding="utf-8"?>
<styleSheet xmlns="http://schemas.openxmlformats.org/spreadsheetml/2006/main">
  <numFmts count="8">
    <numFmt numFmtId="164" formatCode="General"/>
    <numFmt numFmtId="165" formatCode="0"/>
    <numFmt numFmtId="166" formatCode="\£#,##0.00;&quot;-£&quot;#,##0.00;\-"/>
    <numFmt numFmtId="167" formatCode="\£#,##0.00"/>
    <numFmt numFmtId="168" formatCode="\£#,##0"/>
    <numFmt numFmtId="169" formatCode="0%"/>
    <numFmt numFmtId="170" formatCode="0.0"/>
    <numFmt numFmtId="171" formatCode="0.00000"/>
  </numFmts>
  <fonts count="11">
    <font>
      <sz val="11"/>
      <color theme="1"/>
      <name val="Calibri"/>
      <family val="2"/>
      <charset val="1"/>
    </font>
    <font>
      <sz val="10"/>
      <name val="Arial"/>
      <family val="0"/>
    </font>
    <font>
      <sz val="10"/>
      <name val="Arial"/>
      <family val="0"/>
    </font>
    <font>
      <sz val="10"/>
      <name val="Arial"/>
      <family val="0"/>
    </font>
    <font>
      <b val="true"/>
      <sz val="14"/>
      <color rgb="FF1F4E3D"/>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sz val="10"/>
      <color rgb="FF008000"/>
      <name val="Arial"/>
      <family val="0"/>
      <charset val="1"/>
    </font>
  </fonts>
  <fills count="4">
    <fill>
      <patternFill patternType="none"/>
    </fill>
    <fill>
      <patternFill patternType="gray125"/>
    </fill>
    <fill>
      <patternFill patternType="solid">
        <fgColor rgb="FF1F4E3D"/>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70" fontId="6" fillId="0" borderId="1" xfId="0" applyFont="true" applyBorder="true" applyAlignment="true" applyProtection="false">
      <alignment horizontal="general" vertical="top" textRotation="0" wrapText="true" indent="0" shrinkToFit="false"/>
      <protection locked="true" hidden="false"/>
    </xf>
    <xf numFmtId="171"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row>
    <row r="2" customFormat="false" ht="23.85" hidden="false" customHeight="false" outlineLevel="0" collapsed="false">
      <c r="A2" s="2" t="s">
        <v>1</v>
      </c>
      <c r="B2" s="3" t="s">
        <v>2</v>
      </c>
    </row>
    <row r="3" customFormat="false" ht="15" hidden="false" customHeight="false" outlineLevel="0" collapsed="false">
      <c r="A3" s="2" t="s">
        <v>3</v>
      </c>
      <c r="B3" s="3" t="s">
        <v>4</v>
      </c>
    </row>
    <row r="4" customFormat="false" ht="23.85" hidden="false" customHeight="false" outlineLevel="0" collapsed="false">
      <c r="A4" s="2" t="s">
        <v>5</v>
      </c>
      <c r="B4" s="3" t="s">
        <v>6</v>
      </c>
    </row>
    <row r="5" customFormat="false" ht="23.85" hidden="false" customHeight="false" outlineLevel="0" collapsed="false">
      <c r="A5" s="2" t="s">
        <v>7</v>
      </c>
      <c r="B5" s="3" t="s">
        <v>8</v>
      </c>
    </row>
    <row r="6" customFormat="false" ht="23.85" hidden="false" customHeight="false" outlineLevel="0" collapsed="false">
      <c r="A6" s="2" t="s">
        <v>9</v>
      </c>
      <c r="B6" s="3" t="s">
        <v>10</v>
      </c>
    </row>
    <row r="7" customFormat="false" ht="15" hidden="false" customHeight="false" outlineLevel="0" collapsed="false">
      <c r="A7" s="2" t="s">
        <v>11</v>
      </c>
      <c r="B7" s="3" t="s">
        <v>12</v>
      </c>
    </row>
    <row r="8" customFormat="false" ht="15" hidden="false" customHeight="false" outlineLevel="0" collapsed="false">
      <c r="A8" s="2" t="s">
        <v>13</v>
      </c>
      <c r="B8" s="3" t="s">
        <v>14</v>
      </c>
    </row>
    <row r="9" customFormat="false" ht="23.85" hidden="false" customHeight="false" outlineLevel="0" collapsed="false">
      <c r="A9" s="2" t="s">
        <v>15</v>
      </c>
      <c r="B9" s="3" t="s">
        <v>16</v>
      </c>
    </row>
    <row r="10" customFormat="false" ht="23.85" hidden="false" customHeight="false" outlineLevel="0" collapsed="false">
      <c r="A10" s="2" t="s">
        <v>17</v>
      </c>
      <c r="B10"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5"/>
    <col collapsed="false" customWidth="true" hidden="false" outlineLevel="0" max="3" min="3" style="0" width="60"/>
  </cols>
  <sheetData>
    <row r="1" customFormat="false" ht="17.35" hidden="false" customHeight="false" outlineLevel="0" collapsed="false">
      <c r="A1" s="1" t="s">
        <v>19</v>
      </c>
    </row>
    <row r="4" customFormat="false" ht="15" hidden="false" customHeight="false" outlineLevel="0" collapsed="false">
      <c r="A4" s="4" t="s">
        <v>20</v>
      </c>
      <c r="B4" s="4" t="s">
        <v>21</v>
      </c>
      <c r="C4" s="4" t="s">
        <v>22</v>
      </c>
    </row>
    <row r="5" customFormat="false" ht="15" hidden="false" customHeight="false" outlineLevel="0" collapsed="false">
      <c r="A5" s="5" t="s">
        <v>23</v>
      </c>
      <c r="B5" s="6" t="s">
        <v>24</v>
      </c>
      <c r="C5" s="7"/>
    </row>
    <row r="6" customFormat="false" ht="22.35" hidden="false" customHeight="false" outlineLevel="0" collapsed="false">
      <c r="A6" s="5" t="s">
        <v>25</v>
      </c>
      <c r="B6" s="6" t="s">
        <v>26</v>
      </c>
      <c r="C6" s="7" t="s">
        <v>27</v>
      </c>
    </row>
    <row r="7" customFormat="false" ht="15" hidden="false" customHeight="false" outlineLevel="0" collapsed="false">
      <c r="A7" s="5" t="s">
        <v>28</v>
      </c>
      <c r="B7" s="6" t="s">
        <v>29</v>
      </c>
      <c r="C7" s="7"/>
    </row>
    <row r="8" customFormat="false" ht="15" hidden="false" customHeight="false" outlineLevel="0" collapsed="false">
      <c r="A8" s="5" t="s">
        <v>30</v>
      </c>
      <c r="B8" s="8" t="s">
        <v>31</v>
      </c>
      <c r="C8" s="7" t="s">
        <v>32</v>
      </c>
    </row>
    <row r="9" customFormat="false" ht="15" hidden="false" customHeight="false" outlineLevel="0" collapsed="false">
      <c r="A9" s="5" t="s">
        <v>33</v>
      </c>
      <c r="B9" s="6" t="s">
        <v>34</v>
      </c>
      <c r="C9" s="7"/>
    </row>
    <row r="10" customFormat="false" ht="15" hidden="false" customHeight="false" outlineLevel="0" collapsed="false">
      <c r="A10" s="5" t="s">
        <v>35</v>
      </c>
      <c r="B10" s="6" t="s">
        <v>36</v>
      </c>
      <c r="C10" s="7"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22"/>
    <col collapsed="false" customWidth="true" hidden="false" outlineLevel="0" max="4" min="4" style="0" width="7"/>
    <col collapsed="false" customWidth="true" hidden="false" outlineLevel="0" max="5" min="5" style="0" width="24"/>
    <col collapsed="false" customWidth="true" hidden="false" outlineLevel="0" max="6" min="6" style="0" width="40"/>
    <col collapsed="false" customWidth="true" hidden="false" outlineLevel="0" max="7" min="7" style="0" width="13"/>
    <col collapsed="false" customWidth="true" hidden="false" outlineLevel="0" max="8" min="8" style="0" width="9"/>
    <col collapsed="false" customWidth="true" hidden="false" outlineLevel="0" max="9" min="9" style="0" width="50"/>
  </cols>
  <sheetData>
    <row r="1" customFormat="false" ht="17.35" hidden="false" customHeight="false" outlineLevel="0" collapsed="false">
      <c r="A1" s="1" t="s">
        <v>38</v>
      </c>
    </row>
    <row r="4" customFormat="false" ht="23.85" hidden="false" customHeight="false" outlineLevel="0" collapsed="false">
      <c r="A4" s="4" t="s">
        <v>39</v>
      </c>
      <c r="B4" s="4" t="s">
        <v>40</v>
      </c>
      <c r="C4" s="4" t="s">
        <v>41</v>
      </c>
      <c r="D4" s="4" t="s">
        <v>42</v>
      </c>
      <c r="E4" s="4" t="s">
        <v>43</v>
      </c>
      <c r="F4" s="4" t="s">
        <v>44</v>
      </c>
      <c r="G4" s="4" t="s">
        <v>45</v>
      </c>
      <c r="H4" s="4" t="s">
        <v>46</v>
      </c>
      <c r="I4" s="4" t="s">
        <v>47</v>
      </c>
    </row>
    <row r="5" customFormat="false" ht="23.85" hidden="false" customHeight="false" outlineLevel="0" collapsed="false">
      <c r="A5" s="9" t="s">
        <v>48</v>
      </c>
      <c r="B5" s="9" t="s">
        <v>49</v>
      </c>
      <c r="C5" s="9" t="s">
        <v>50</v>
      </c>
      <c r="D5" s="9" t="s">
        <v>51</v>
      </c>
      <c r="E5" s="9" t="s">
        <v>52</v>
      </c>
      <c r="F5" s="9" t="s">
        <v>53</v>
      </c>
      <c r="G5" s="9" t="s">
        <v>34</v>
      </c>
      <c r="H5" s="9" t="s">
        <v>54</v>
      </c>
      <c r="I5" s="9" t="s">
        <v>55</v>
      </c>
    </row>
    <row r="6" customFormat="false" ht="23.85" hidden="false" customHeight="false" outlineLevel="0" collapsed="false">
      <c r="A6" s="9" t="s">
        <v>56</v>
      </c>
      <c r="B6" s="9" t="s">
        <v>57</v>
      </c>
      <c r="C6" s="9" t="s">
        <v>58</v>
      </c>
      <c r="D6" s="9" t="s">
        <v>59</v>
      </c>
      <c r="E6" s="9" t="s">
        <v>52</v>
      </c>
      <c r="F6" s="9" t="s">
        <v>60</v>
      </c>
      <c r="G6" s="9" t="s">
        <v>34</v>
      </c>
      <c r="H6" s="9" t="s">
        <v>54</v>
      </c>
      <c r="I6" s="9" t="s">
        <v>61</v>
      </c>
    </row>
    <row r="7" customFormat="false" ht="23.85" hidden="false" customHeight="false" outlineLevel="0" collapsed="false">
      <c r="A7" s="9" t="s">
        <v>62</v>
      </c>
      <c r="B7" s="9" t="s">
        <v>63</v>
      </c>
      <c r="C7" s="9" t="s">
        <v>64</v>
      </c>
      <c r="D7" s="9" t="s">
        <v>65</v>
      </c>
      <c r="E7" s="9" t="s">
        <v>66</v>
      </c>
      <c r="F7" s="9" t="s">
        <v>67</v>
      </c>
      <c r="G7" s="9" t="s">
        <v>34</v>
      </c>
      <c r="H7" s="9" t="s">
        <v>54</v>
      </c>
      <c r="I7" s="9" t="s">
        <v>68</v>
      </c>
    </row>
    <row r="8" customFormat="false" ht="23.85" hidden="false" customHeight="false" outlineLevel="0" collapsed="false">
      <c r="A8" s="9" t="s">
        <v>69</v>
      </c>
      <c r="B8" s="9" t="s">
        <v>70</v>
      </c>
      <c r="C8" s="9" t="s">
        <v>58</v>
      </c>
      <c r="D8" s="9" t="s">
        <v>69</v>
      </c>
      <c r="E8" s="9" t="s">
        <v>71</v>
      </c>
      <c r="F8" s="9" t="s">
        <v>72</v>
      </c>
      <c r="G8" s="9" t="s">
        <v>69</v>
      </c>
      <c r="H8" s="9" t="s">
        <v>73</v>
      </c>
      <c r="I8" s="9"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1"/>
    <col collapsed="false" customWidth="true" hidden="false" outlineLevel="0" max="4" min="4" style="0" width="30"/>
    <col collapsed="false" customWidth="true" hidden="false" outlineLevel="0" max="5" min="5" style="0" width="55"/>
    <col collapsed="false" customWidth="true" hidden="false" outlineLevel="0" max="6" min="6" style="0" width="26"/>
    <col collapsed="false" customWidth="true" hidden="false" outlineLevel="0" max="7" min="7" style="0" width="60"/>
    <col collapsed="false" customWidth="true" hidden="false" outlineLevel="0" max="8" min="8" style="0" width="34"/>
    <col collapsed="false" customWidth="true" hidden="false" outlineLevel="0" max="11" min="9" style="0" width="13"/>
  </cols>
  <sheetData>
    <row r="1" customFormat="false" ht="17.35" hidden="false" customHeight="false" outlineLevel="0" collapsed="false">
      <c r="A1" s="1" t="s">
        <v>75</v>
      </c>
    </row>
    <row r="2" customFormat="false" ht="15" hidden="false" customHeight="false" outlineLevel="0" collapsed="false">
      <c r="A2" s="10" t="s">
        <v>76</v>
      </c>
    </row>
    <row r="4" customFormat="false" ht="35.05" hidden="false" customHeight="false" outlineLevel="0" collapsed="false">
      <c r="A4" s="4" t="s">
        <v>77</v>
      </c>
      <c r="B4" s="4" t="s">
        <v>78</v>
      </c>
      <c r="C4" s="4" t="s">
        <v>79</v>
      </c>
      <c r="D4" s="4" t="s">
        <v>80</v>
      </c>
      <c r="E4" s="4" t="s">
        <v>81</v>
      </c>
      <c r="F4" s="4" t="s">
        <v>82</v>
      </c>
      <c r="G4" s="4" t="s">
        <v>83</v>
      </c>
      <c r="H4" s="4" t="s">
        <v>84</v>
      </c>
      <c r="I4" s="4" t="s">
        <v>85</v>
      </c>
      <c r="J4" s="4" t="s">
        <v>86</v>
      </c>
      <c r="K4" s="4" t="s">
        <v>87</v>
      </c>
    </row>
    <row r="5" customFormat="false" ht="35.05" hidden="false" customHeight="false" outlineLevel="0" collapsed="false">
      <c r="A5" s="9" t="s">
        <v>88</v>
      </c>
      <c r="B5" s="9" t="s">
        <v>89</v>
      </c>
      <c r="C5" s="9" t="s">
        <v>90</v>
      </c>
      <c r="D5" s="9" t="s">
        <v>91</v>
      </c>
      <c r="E5" s="9" t="s">
        <v>92</v>
      </c>
      <c r="F5" s="9" t="s">
        <v>93</v>
      </c>
      <c r="G5" s="9" t="s">
        <v>94</v>
      </c>
      <c r="H5" s="9" t="s">
        <v>95</v>
      </c>
      <c r="I5" s="11" t="n">
        <f aca="false">COUNTIF(NBSAP_Commitments!$E:$E,C5)</f>
        <v>4</v>
      </c>
      <c r="J5" s="12" t="n">
        <f aca="false">SUMIF(NBSAP_Commitments!$E:$E,C5,NBSAP_Commitments!$H:$H)/1000000000</f>
        <v>0.174</v>
      </c>
      <c r="K5" s="13" t="n">
        <f aca="false">IF(J5&gt;=Rubric!$C$29,5,IF(J5&gt;=Rubric!$C$30,4,IF(J5&gt;=Rubric!$C$31,3,IF(J5&gt;=Rubric!$C$32,2,1))))</f>
        <v>2</v>
      </c>
    </row>
    <row r="6" customFormat="false" ht="46.25" hidden="false" customHeight="false" outlineLevel="0" collapsed="false">
      <c r="A6" s="9" t="s">
        <v>88</v>
      </c>
      <c r="B6" s="9" t="s">
        <v>89</v>
      </c>
      <c r="C6" s="9" t="s">
        <v>96</v>
      </c>
      <c r="D6" s="9" t="s">
        <v>97</v>
      </c>
      <c r="E6" s="9" t="s">
        <v>98</v>
      </c>
      <c r="F6" s="9" t="s">
        <v>99</v>
      </c>
      <c r="G6" s="9" t="s">
        <v>100</v>
      </c>
      <c r="H6" s="14" t="s">
        <v>101</v>
      </c>
      <c r="I6" s="11" t="n">
        <f aca="false">COUNTIF(NBSAP_Commitments!$E:$E,C6)</f>
        <v>5</v>
      </c>
      <c r="J6" s="12" t="n">
        <f aca="false">SUMIF(NBSAP_Commitments!$E:$E,C6,NBSAP_Commitments!$H:$H)/1000000000</f>
        <v>3.716</v>
      </c>
      <c r="K6" s="13" t="n">
        <f aca="false">IF(J6&gt;=Rubric!$C$29,5,IF(J6&gt;=Rubric!$C$30,4,IF(J6&gt;=Rubric!$C$31,3,IF(J6&gt;=Rubric!$C$32,2,1))))</f>
        <v>4</v>
      </c>
    </row>
    <row r="7" customFormat="false" ht="35.05" hidden="false" customHeight="false" outlineLevel="0" collapsed="false">
      <c r="A7" s="9" t="s">
        <v>88</v>
      </c>
      <c r="B7" s="9" t="s">
        <v>89</v>
      </c>
      <c r="C7" s="9" t="s">
        <v>102</v>
      </c>
      <c r="D7" s="9" t="s">
        <v>103</v>
      </c>
      <c r="E7" s="9" t="s">
        <v>104</v>
      </c>
      <c r="F7" s="9" t="s">
        <v>93</v>
      </c>
      <c r="G7" s="9" t="s">
        <v>105</v>
      </c>
      <c r="H7" s="14" t="s">
        <v>101</v>
      </c>
      <c r="I7" s="11" t="n">
        <f aca="false">COUNTIF(NBSAP_Commitments!$E:$E,C7)</f>
        <v>3</v>
      </c>
      <c r="J7" s="12" t="n">
        <f aca="false">SUMIF(NBSAP_Commitments!$E:$E,C7,NBSAP_Commitments!$H:$H)/1000000000</f>
        <v>2.2</v>
      </c>
      <c r="K7" s="13" t="n">
        <f aca="false">IF(J7&gt;=Rubric!$C$29,5,IF(J7&gt;=Rubric!$C$30,4,IF(J7&gt;=Rubric!$C$31,3,IF(J7&gt;=Rubric!$C$32,2,1))))</f>
        <v>3</v>
      </c>
    </row>
    <row r="8" customFormat="false" ht="57.45" hidden="false" customHeight="false" outlineLevel="0" collapsed="false">
      <c r="A8" s="9" t="s">
        <v>106</v>
      </c>
      <c r="B8" s="9" t="s">
        <v>107</v>
      </c>
      <c r="C8" s="9" t="s">
        <v>108</v>
      </c>
      <c r="D8" s="9" t="s">
        <v>109</v>
      </c>
      <c r="E8" s="9" t="s">
        <v>110</v>
      </c>
      <c r="F8" s="9" t="s">
        <v>111</v>
      </c>
      <c r="G8" s="9" t="s">
        <v>112</v>
      </c>
      <c r="H8" s="14" t="s">
        <v>113</v>
      </c>
      <c r="I8" s="11" t="n">
        <f aca="false">COUNTIF(NBSAP_Commitments!$E:$E,C8)</f>
        <v>2</v>
      </c>
      <c r="J8" s="12" t="n">
        <f aca="false">SUMIF(NBSAP_Commitments!$E:$E,C8,NBSAP_Commitments!$H:$H)/1000000000</f>
        <v>1.816</v>
      </c>
      <c r="K8" s="13" t="n">
        <f aca="false">IF(J8&gt;=Rubric!$C$29,5,IF(J8&gt;=Rubric!$C$30,4,IF(J8&gt;=Rubric!$C$31,3,IF(J8&gt;=Rubric!$C$32,2,1))))</f>
        <v>3</v>
      </c>
    </row>
    <row r="9" customFormat="false" ht="68.65" hidden="false" customHeight="false" outlineLevel="0" collapsed="false">
      <c r="A9" s="9" t="s">
        <v>106</v>
      </c>
      <c r="B9" s="9" t="s">
        <v>107</v>
      </c>
      <c r="C9" s="9" t="s">
        <v>114</v>
      </c>
      <c r="D9" s="9" t="s">
        <v>115</v>
      </c>
      <c r="E9" s="9" t="s">
        <v>116</v>
      </c>
      <c r="F9" s="9" t="s">
        <v>117</v>
      </c>
      <c r="G9" s="9" t="s">
        <v>118</v>
      </c>
      <c r="H9" s="14" t="s">
        <v>119</v>
      </c>
      <c r="I9" s="11" t="n">
        <f aca="false">COUNTIF(NBSAP_Commitments!$E:$E,C9)</f>
        <v>2</v>
      </c>
      <c r="J9" s="12" t="n">
        <f aca="false">SUMIF(NBSAP_Commitments!$E:$E,C9,NBSAP_Commitments!$H:$H)/1000000000</f>
        <v>5</v>
      </c>
      <c r="K9" s="13" t="n">
        <f aca="false">IF(J9&gt;=Rubric!$C$29,5,IF(J9&gt;=Rubric!$C$30,4,IF(J9&gt;=Rubric!$C$31,3,IF(J9&gt;=Rubric!$C$32,2,1))))</f>
        <v>4</v>
      </c>
    </row>
    <row r="10" customFormat="false" ht="79.85" hidden="false" customHeight="false" outlineLevel="0" collapsed="false">
      <c r="A10" s="9" t="s">
        <v>106</v>
      </c>
      <c r="B10" s="9" t="s">
        <v>107</v>
      </c>
      <c r="C10" s="9" t="s">
        <v>120</v>
      </c>
      <c r="D10" s="9" t="s">
        <v>121</v>
      </c>
      <c r="E10" s="9" t="s">
        <v>122</v>
      </c>
      <c r="F10" s="9" t="s">
        <v>123</v>
      </c>
      <c r="G10" s="9" t="s">
        <v>124</v>
      </c>
      <c r="H10" s="14" t="s">
        <v>125</v>
      </c>
      <c r="I10" s="11" t="n">
        <f aca="false">COUNTIF(NBSAP_Commitments!$E:$E,C10)</f>
        <v>1</v>
      </c>
      <c r="J10" s="12" t="n">
        <f aca="false">SUMIF(NBSAP_Commitments!$E:$E,C10,NBSAP_Commitments!$H:$H)/1000000000</f>
        <v>0.36</v>
      </c>
      <c r="K10" s="13" t="n">
        <f aca="false">IF(J10&gt;=Rubric!$C$29,5,IF(J10&gt;=Rubric!$C$30,4,IF(J10&gt;=Rubric!$C$31,3,IF(J10&gt;=Rubric!$C$32,2,1))))</f>
        <v>2</v>
      </c>
    </row>
    <row r="11" customFormat="false" ht="57.45" hidden="false" customHeight="false" outlineLevel="0" collapsed="false">
      <c r="A11" s="9" t="s">
        <v>126</v>
      </c>
      <c r="B11" s="9" t="s">
        <v>127</v>
      </c>
      <c r="C11" s="9" t="s">
        <v>128</v>
      </c>
      <c r="D11" s="9" t="s">
        <v>129</v>
      </c>
      <c r="E11" s="9" t="s">
        <v>130</v>
      </c>
      <c r="F11" s="9" t="s">
        <v>111</v>
      </c>
      <c r="G11" s="9" t="s">
        <v>131</v>
      </c>
      <c r="H11" s="14" t="s">
        <v>132</v>
      </c>
      <c r="I11" s="11" t="n">
        <f aca="false">COUNTIF(NBSAP_Commitments!$E:$E,C11)</f>
        <v>1</v>
      </c>
      <c r="J11" s="12" t="n">
        <f aca="false">SUMIF(NBSAP_Commitments!$E:$E,C11,NBSAP_Commitments!$H:$H)/1000000000</f>
        <v>0.012</v>
      </c>
      <c r="K11" s="13" t="n">
        <f aca="false">IF(J11&gt;=Rubric!$C$29,5,IF(J11&gt;=Rubric!$C$30,4,IF(J11&gt;=Rubric!$C$31,3,IF(J11&gt;=Rubric!$C$32,2,1))))</f>
        <v>1</v>
      </c>
    </row>
    <row r="12" customFormat="false" ht="46.25" hidden="false" customHeight="false" outlineLevel="0" collapsed="false">
      <c r="A12" s="9" t="s">
        <v>126</v>
      </c>
      <c r="B12" s="9" t="s">
        <v>127</v>
      </c>
      <c r="C12" s="9" t="s">
        <v>133</v>
      </c>
      <c r="D12" s="9" t="s">
        <v>134</v>
      </c>
      <c r="E12" s="9" t="s">
        <v>135</v>
      </c>
      <c r="F12" s="9" t="s">
        <v>117</v>
      </c>
      <c r="G12" s="9" t="s">
        <v>136</v>
      </c>
      <c r="H12" s="14" t="s">
        <v>137</v>
      </c>
      <c r="I12" s="11" t="n">
        <f aca="false">COUNTIF(NBSAP_Commitments!$E:$E,C12)</f>
        <v>0</v>
      </c>
      <c r="J12" s="12" t="n">
        <f aca="false">SUMIF(NBSAP_Commitments!$E:$E,C12,NBSAP_Commitments!$H:$H)/1000000000</f>
        <v>0</v>
      </c>
      <c r="K12" s="13" t="n">
        <f aca="false">IF(J12&gt;=Rubric!$C$29,5,IF(J12&gt;=Rubric!$C$30,4,IF(J12&gt;=Rubric!$C$31,3,IF(J12&gt;=Rubric!$C$32,2,1))))</f>
        <v>1</v>
      </c>
    </row>
    <row r="13" customFormat="false" ht="46.25" hidden="false" customHeight="false" outlineLevel="0" collapsed="false">
      <c r="A13" s="9" t="s">
        <v>126</v>
      </c>
      <c r="B13" s="9" t="s">
        <v>127</v>
      </c>
      <c r="C13" s="9" t="s">
        <v>138</v>
      </c>
      <c r="D13" s="9" t="s">
        <v>139</v>
      </c>
      <c r="E13" s="9" t="s">
        <v>140</v>
      </c>
      <c r="F13" s="9" t="s">
        <v>117</v>
      </c>
      <c r="G13" s="9" t="s">
        <v>141</v>
      </c>
      <c r="H13" s="14" t="s">
        <v>142</v>
      </c>
      <c r="I13" s="11" t="n">
        <f aca="false">COUNTIF(NBSAP_Commitments!$E:$E,C13)</f>
        <v>5</v>
      </c>
      <c r="J13" s="12" t="n">
        <f aca="false">SUMIF(NBSAP_Commitments!$E:$E,C13,NBSAP_Commitments!$H:$H)/1000000000</f>
        <v>15.429</v>
      </c>
      <c r="K13" s="13" t="n">
        <f aca="false">IF(J13&gt;=Rubric!$C$29,5,IF(J13&gt;=Rubric!$C$30,4,IF(J13&gt;=Rubric!$C$31,3,IF(J13&gt;=Rubric!$C$32,2,1))))</f>
        <v>5</v>
      </c>
    </row>
    <row r="14" customFormat="false" ht="68.65" hidden="false" customHeight="false" outlineLevel="0" collapsed="false">
      <c r="A14" s="9" t="s">
        <v>143</v>
      </c>
      <c r="B14" s="9" t="s">
        <v>144</v>
      </c>
      <c r="C14" s="9" t="s">
        <v>145</v>
      </c>
      <c r="D14" s="9" t="s">
        <v>146</v>
      </c>
      <c r="E14" s="9" t="s">
        <v>147</v>
      </c>
      <c r="F14" s="9" t="s">
        <v>148</v>
      </c>
      <c r="G14" s="9" t="s">
        <v>149</v>
      </c>
      <c r="H14" s="14" t="s">
        <v>150</v>
      </c>
      <c r="I14" s="11" t="n">
        <f aca="false">COUNTIF(NBSAP_Commitments!$E:$E,C14)</f>
        <v>6</v>
      </c>
      <c r="J14" s="12" t="n">
        <f aca="false">SUMIF(NBSAP_Commitments!$E:$E,C14,NBSAP_Commitments!$H:$H)/1000000000</f>
        <v>20.498</v>
      </c>
      <c r="K14" s="13" t="n">
        <f aca="false">IF(J14&gt;=Rubric!$C$29,5,IF(J14&gt;=Rubric!$C$30,4,IF(J14&gt;=Rubric!$C$31,3,IF(J14&gt;=Rubric!$C$32,2,1))))</f>
        <v>5</v>
      </c>
    </row>
    <row r="15" customFormat="false" ht="46.25" hidden="false" customHeight="false" outlineLevel="0" collapsed="false">
      <c r="A15" s="9" t="s">
        <v>143</v>
      </c>
      <c r="B15" s="9" t="s">
        <v>144</v>
      </c>
      <c r="C15" s="9" t="s">
        <v>151</v>
      </c>
      <c r="D15" s="9" t="s">
        <v>152</v>
      </c>
      <c r="E15" s="9" t="s">
        <v>153</v>
      </c>
      <c r="F15" s="9" t="s">
        <v>148</v>
      </c>
      <c r="G15" s="9" t="s">
        <v>154</v>
      </c>
      <c r="H15" s="14" t="s">
        <v>150</v>
      </c>
      <c r="I15" s="11" t="n">
        <f aca="false">COUNTIF(NBSAP_Commitments!$E:$E,C15)</f>
        <v>0</v>
      </c>
      <c r="J15" s="12" t="n">
        <f aca="false">SUMIF(NBSAP_Commitments!$E:$E,C15,NBSAP_Commitments!$H:$H)/1000000000</f>
        <v>0</v>
      </c>
      <c r="K15" s="13" t="n">
        <f aca="false">IF(J15&gt;=Rubric!$C$29,5,IF(J15&gt;=Rubric!$C$30,4,IF(J15&gt;=Rubric!$C$31,3,IF(J15&gt;=Rubric!$C$32,2,1))))</f>
        <v>1</v>
      </c>
    </row>
    <row r="16" customFormat="false" ht="46.25" hidden="false" customHeight="false" outlineLevel="0" collapsed="false">
      <c r="A16" s="9" t="s">
        <v>143</v>
      </c>
      <c r="B16" s="9" t="s">
        <v>144</v>
      </c>
      <c r="C16" s="9" t="s">
        <v>155</v>
      </c>
      <c r="D16" s="9" t="s">
        <v>156</v>
      </c>
      <c r="E16" s="9" t="s">
        <v>157</v>
      </c>
      <c r="F16" s="9" t="s">
        <v>148</v>
      </c>
      <c r="G16" s="9" t="s">
        <v>158</v>
      </c>
      <c r="H16" s="14" t="s">
        <v>159</v>
      </c>
      <c r="I16" s="11" t="n">
        <f aca="false">COUNTIF(NBSAP_Commitments!$E:$E,C16)</f>
        <v>1</v>
      </c>
      <c r="J16" s="12" t="n">
        <f aca="false">SUMIF(NBSAP_Commitments!$E:$E,C16,NBSAP_Commitments!$H:$H)/1000000000</f>
        <v>0.015</v>
      </c>
      <c r="K16" s="13" t="n">
        <f aca="false">IF(J16&gt;=Rubric!$C$29,5,IF(J16&gt;=Rubric!$C$30,4,IF(J16&gt;=Rubric!$C$31,3,IF(J16&gt;=Rubric!$C$32,2,1))))</f>
        <v>1</v>
      </c>
    </row>
    <row r="17" customFormat="false" ht="57.45" hidden="false" customHeight="false" outlineLevel="0" collapsed="false">
      <c r="A17" s="9" t="s">
        <v>160</v>
      </c>
      <c r="B17" s="9" t="s">
        <v>161</v>
      </c>
      <c r="C17" s="9" t="s">
        <v>162</v>
      </c>
      <c r="D17" s="9" t="s">
        <v>163</v>
      </c>
      <c r="E17" s="9" t="s">
        <v>164</v>
      </c>
      <c r="F17" s="9" t="s">
        <v>165</v>
      </c>
      <c r="G17" s="9" t="s">
        <v>166</v>
      </c>
      <c r="H17" s="14" t="s">
        <v>167</v>
      </c>
      <c r="I17" s="11" t="n">
        <f aca="false">COUNTIF(NBSAP_Commitments!$E:$E,C17)</f>
        <v>1</v>
      </c>
      <c r="J17" s="12" t="n">
        <f aca="false">SUMIF(NBSAP_Commitments!$E:$E,C17,NBSAP_Commitments!$H:$H)/1000000000</f>
        <v>0.22</v>
      </c>
      <c r="K17" s="13" t="n">
        <f aca="false">IF(J17&gt;=Rubric!$C$29,5,IF(J17&gt;=Rubric!$C$30,4,IF(J17&gt;=Rubric!$C$31,3,IF(J17&gt;=Rubric!$C$32,2,1))))</f>
        <v>2</v>
      </c>
    </row>
    <row r="18" customFormat="false" ht="46.25" hidden="false" customHeight="false" outlineLevel="0" collapsed="false">
      <c r="A18" s="9" t="s">
        <v>160</v>
      </c>
      <c r="B18" s="9" t="s">
        <v>161</v>
      </c>
      <c r="C18" s="9" t="s">
        <v>168</v>
      </c>
      <c r="D18" s="9" t="s">
        <v>169</v>
      </c>
      <c r="E18" s="9" t="s">
        <v>170</v>
      </c>
      <c r="F18" s="9" t="s">
        <v>165</v>
      </c>
      <c r="G18" s="9" t="s">
        <v>171</v>
      </c>
      <c r="H18" s="14" t="s">
        <v>167</v>
      </c>
      <c r="I18" s="11" t="n">
        <f aca="false">COUNTIF(NBSAP_Commitments!$E:$E,C18)</f>
        <v>1</v>
      </c>
      <c r="J18" s="12" t="n">
        <f aca="false">SUMIF(NBSAP_Commitments!$E:$E,C18,NBSAP_Commitments!$H:$H)/1000000000</f>
        <v>10</v>
      </c>
      <c r="K18" s="13" t="n">
        <f aca="false">IF(J18&gt;=Rubric!$C$29,5,IF(J18&gt;=Rubric!$C$30,4,IF(J18&gt;=Rubric!$C$31,3,IF(J18&gt;=Rubric!$C$32,2,1))))</f>
        <v>5</v>
      </c>
    </row>
    <row r="19" customFormat="false" ht="46.25" hidden="false" customHeight="false" outlineLevel="0" collapsed="false">
      <c r="A19" s="9" t="s">
        <v>160</v>
      </c>
      <c r="B19" s="9" t="s">
        <v>161</v>
      </c>
      <c r="C19" s="9" t="s">
        <v>172</v>
      </c>
      <c r="D19" s="9" t="s">
        <v>173</v>
      </c>
      <c r="E19" s="9" t="s">
        <v>174</v>
      </c>
      <c r="F19" s="9" t="s">
        <v>175</v>
      </c>
      <c r="G19" s="9" t="s">
        <v>176</v>
      </c>
      <c r="H19" s="14" t="s">
        <v>177</v>
      </c>
      <c r="I19" s="11" t="n">
        <f aca="false">COUNTIF(NBSAP_Commitments!$E:$E,C19)</f>
        <v>2</v>
      </c>
      <c r="J19" s="12" t="n">
        <f aca="false">SUMIF(NBSAP_Commitments!$E:$E,C19,NBSAP_Commitments!$H:$H)/1000000000</f>
        <v>0.598</v>
      </c>
      <c r="K19" s="13" t="n">
        <f aca="false">IF(J19&gt;=Rubric!$C$29,5,IF(J19&gt;=Rubric!$C$30,4,IF(J19&gt;=Rubric!$C$31,3,IF(J19&gt;=Rubric!$C$32,2,1))))</f>
        <v>2</v>
      </c>
    </row>
    <row r="20" customFormat="false" ht="15" hidden="false" customHeight="false" outlineLevel="0" collapsed="false">
      <c r="H20" s="5" t="s">
        <v>178</v>
      </c>
      <c r="I20" s="15" t="n">
        <f aca="false">SUM(I5:I19)</f>
        <v>34</v>
      </c>
      <c r="J20" s="16" t="n">
        <f aca="false">SUM(J5:J19)</f>
        <v>60.038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34"/>
    <col collapsed="false" customWidth="true" hidden="false" outlineLevel="0" max="4" min="4" style="0" width="12"/>
    <col collapsed="false" customWidth="true" hidden="false" outlineLevel="0" max="5" min="5" style="0" width="13"/>
    <col collapsed="false" customWidth="true" hidden="false" outlineLevel="0" max="6" min="6" style="0" width="10"/>
    <col collapsed="false" customWidth="true" hidden="false" outlineLevel="0" max="7" min="7" style="0" width="70"/>
    <col collapsed="false" customWidth="true" hidden="false" outlineLevel="0" max="8" min="8" style="0" width="15"/>
    <col collapsed="false" customWidth="true" hidden="false" outlineLevel="0" max="9" min="9" style="0" width="22"/>
    <col collapsed="false" customWidth="true" hidden="false" outlineLevel="0" max="10" min="10" style="0" width="20"/>
    <col collapsed="false" customWidth="true" hidden="false" outlineLevel="0" max="11" min="11" style="0" width="40"/>
  </cols>
  <sheetData>
    <row r="1" customFormat="false" ht="17.35" hidden="false" customHeight="false" outlineLevel="0" collapsed="false">
      <c r="A1" s="1" t="s">
        <v>179</v>
      </c>
    </row>
    <row r="2" customFormat="false" ht="15" hidden="false" customHeight="false" outlineLevel="0" collapsed="false">
      <c r="A2" s="10" t="s">
        <v>180</v>
      </c>
    </row>
    <row r="4" customFormat="false" ht="35.05" hidden="false" customHeight="false" outlineLevel="0" collapsed="false">
      <c r="A4" s="4" t="s">
        <v>181</v>
      </c>
      <c r="B4" s="4" t="s">
        <v>182</v>
      </c>
      <c r="C4" s="4" t="s">
        <v>183</v>
      </c>
      <c r="D4" s="4" t="s">
        <v>184</v>
      </c>
      <c r="E4" s="4" t="s">
        <v>185</v>
      </c>
      <c r="F4" s="4" t="s">
        <v>186</v>
      </c>
      <c r="G4" s="4" t="s">
        <v>187</v>
      </c>
      <c r="H4" s="4" t="s">
        <v>188</v>
      </c>
      <c r="I4" s="4" t="s">
        <v>189</v>
      </c>
      <c r="J4" s="4" t="s">
        <v>190</v>
      </c>
      <c r="K4" s="4" t="s">
        <v>191</v>
      </c>
    </row>
    <row r="5" customFormat="false" ht="23.85" hidden="false" customHeight="false" outlineLevel="0" collapsed="false">
      <c r="A5" s="9" t="s">
        <v>192</v>
      </c>
      <c r="B5" s="9" t="s">
        <v>193</v>
      </c>
      <c r="C5" s="9" t="s">
        <v>194</v>
      </c>
      <c r="D5" s="9" t="s">
        <v>108</v>
      </c>
      <c r="E5" s="9" t="s">
        <v>108</v>
      </c>
      <c r="F5" s="9" t="str">
        <f aca="false">IF(D5=E5,"Yes","No – see Data_QA")</f>
        <v>Yes</v>
      </c>
      <c r="G5" s="9" t="s">
        <v>195</v>
      </c>
      <c r="H5" s="17" t="n">
        <v>816000000</v>
      </c>
      <c r="I5" s="9" t="s">
        <v>196</v>
      </c>
      <c r="J5" s="9" t="s">
        <v>197</v>
      </c>
      <c r="K5" s="9" t="s">
        <v>198</v>
      </c>
    </row>
    <row r="6" customFormat="false" ht="23.85" hidden="false" customHeight="false" outlineLevel="0" collapsed="false">
      <c r="A6" s="9" t="s">
        <v>199</v>
      </c>
      <c r="B6" s="9" t="s">
        <v>200</v>
      </c>
      <c r="C6" s="9" t="s">
        <v>201</v>
      </c>
      <c r="D6" s="9" t="s">
        <v>108</v>
      </c>
      <c r="E6" s="9" t="s">
        <v>108</v>
      </c>
      <c r="F6" s="9" t="str">
        <f aca="false">IF(D6=E6,"Yes","No – see Data_QA")</f>
        <v>Yes</v>
      </c>
      <c r="G6" s="9" t="s">
        <v>202</v>
      </c>
      <c r="H6" s="17" t="n">
        <v>1000000000</v>
      </c>
      <c r="I6" s="9" t="s">
        <v>196</v>
      </c>
      <c r="J6" s="9" t="s">
        <v>197</v>
      </c>
      <c r="K6" s="9" t="s">
        <v>198</v>
      </c>
    </row>
    <row r="7" customFormat="false" ht="23.85" hidden="false" customHeight="false" outlineLevel="0" collapsed="false">
      <c r="A7" s="9" t="s">
        <v>203</v>
      </c>
      <c r="B7" s="9" t="s">
        <v>204</v>
      </c>
      <c r="C7" s="9" t="s">
        <v>205</v>
      </c>
      <c r="D7" s="9" t="s">
        <v>114</v>
      </c>
      <c r="E7" s="9" t="s">
        <v>114</v>
      </c>
      <c r="F7" s="9" t="str">
        <f aca="false">IF(D7=E7,"Yes","No – see Data_QA")</f>
        <v>Yes</v>
      </c>
      <c r="G7" s="9" t="s">
        <v>206</v>
      </c>
      <c r="H7" s="17" t="n">
        <v>2700000000</v>
      </c>
      <c r="I7" s="9" t="s">
        <v>196</v>
      </c>
      <c r="J7" s="9" t="s">
        <v>197</v>
      </c>
      <c r="K7" s="9" t="s">
        <v>198</v>
      </c>
    </row>
    <row r="8" customFormat="false" ht="23.85" hidden="false" customHeight="false" outlineLevel="0" collapsed="false">
      <c r="A8" s="9" t="s">
        <v>207</v>
      </c>
      <c r="B8" s="9" t="s">
        <v>204</v>
      </c>
      <c r="C8" s="9" t="s">
        <v>205</v>
      </c>
      <c r="D8" s="9" t="s">
        <v>114</v>
      </c>
      <c r="E8" s="9" t="s">
        <v>114</v>
      </c>
      <c r="F8" s="9" t="str">
        <f aca="false">IF(D8=E8,"Yes","No – see Data_QA")</f>
        <v>Yes</v>
      </c>
      <c r="G8" s="9" t="s">
        <v>208</v>
      </c>
      <c r="H8" s="17" t="n">
        <v>2300000000</v>
      </c>
      <c r="I8" s="9" t="s">
        <v>196</v>
      </c>
      <c r="J8" s="9" t="s">
        <v>197</v>
      </c>
      <c r="K8" s="9" t="s">
        <v>198</v>
      </c>
    </row>
    <row r="9" customFormat="false" ht="23.85" hidden="false" customHeight="false" outlineLevel="0" collapsed="false">
      <c r="A9" s="9" t="s">
        <v>209</v>
      </c>
      <c r="B9" s="9" t="s">
        <v>210</v>
      </c>
      <c r="C9" s="9" t="s">
        <v>211</v>
      </c>
      <c r="D9" s="9" t="s">
        <v>120</v>
      </c>
      <c r="E9" s="9" t="s">
        <v>120</v>
      </c>
      <c r="F9" s="9" t="str">
        <f aca="false">IF(D9=E9,"Yes","No – see Data_QA")</f>
        <v>Yes</v>
      </c>
      <c r="G9" s="9" t="s">
        <v>212</v>
      </c>
      <c r="H9" s="17" t="n">
        <v>360000000</v>
      </c>
      <c r="I9" s="9" t="s">
        <v>196</v>
      </c>
      <c r="J9" s="9" t="s">
        <v>197</v>
      </c>
      <c r="K9" s="9" t="s">
        <v>198</v>
      </c>
    </row>
    <row r="10" customFormat="false" ht="23.85" hidden="false" customHeight="false" outlineLevel="0" collapsed="false">
      <c r="A10" s="9" t="s">
        <v>213</v>
      </c>
      <c r="B10" s="9" t="s">
        <v>214</v>
      </c>
      <c r="C10" s="9" t="s">
        <v>215</v>
      </c>
      <c r="D10" s="9" t="s">
        <v>145</v>
      </c>
      <c r="E10" s="9" t="s">
        <v>145</v>
      </c>
      <c r="F10" s="9" t="str">
        <f aca="false">IF(D10=E10,"Yes","No – see Data_QA")</f>
        <v>Yes</v>
      </c>
      <c r="G10" s="9" t="s">
        <v>216</v>
      </c>
      <c r="H10" s="17" t="n">
        <v>10000000000</v>
      </c>
      <c r="I10" s="9" t="s">
        <v>217</v>
      </c>
      <c r="J10" s="9" t="s">
        <v>218</v>
      </c>
      <c r="K10" s="9" t="s">
        <v>198</v>
      </c>
    </row>
    <row r="11" customFormat="false" ht="23.85" hidden="false" customHeight="false" outlineLevel="0" collapsed="false">
      <c r="A11" s="9" t="s">
        <v>219</v>
      </c>
      <c r="B11" s="9" t="s">
        <v>214</v>
      </c>
      <c r="C11" s="9" t="s">
        <v>215</v>
      </c>
      <c r="D11" s="9" t="s">
        <v>145</v>
      </c>
      <c r="E11" s="9" t="s">
        <v>145</v>
      </c>
      <c r="F11" s="9" t="str">
        <f aca="false">IF(D11=E11,"Yes","No – see Data_QA")</f>
        <v>Yes</v>
      </c>
      <c r="G11" s="9" t="s">
        <v>220</v>
      </c>
      <c r="H11" s="17" t="n">
        <v>2240000000</v>
      </c>
      <c r="I11" s="9" t="s">
        <v>217</v>
      </c>
      <c r="J11" s="9" t="s">
        <v>218</v>
      </c>
      <c r="K11" s="9" t="s">
        <v>221</v>
      </c>
    </row>
    <row r="12" customFormat="false" ht="23.85" hidden="false" customHeight="false" outlineLevel="0" collapsed="false">
      <c r="A12" s="9" t="s">
        <v>222</v>
      </c>
      <c r="B12" s="9" t="s">
        <v>223</v>
      </c>
      <c r="C12" s="9" t="s">
        <v>224</v>
      </c>
      <c r="D12" s="9" t="s">
        <v>151</v>
      </c>
      <c r="E12" s="9" t="s">
        <v>145</v>
      </c>
      <c r="F12" s="9" t="str">
        <f aca="false">IF(D12=E12,"Yes","No – see Data_QA")</f>
        <v>No – see Data_QA</v>
      </c>
      <c r="G12" s="9" t="s">
        <v>225</v>
      </c>
      <c r="H12" s="17" t="n">
        <v>300000000</v>
      </c>
      <c r="I12" s="9" t="s">
        <v>196</v>
      </c>
      <c r="J12" s="9" t="s">
        <v>197</v>
      </c>
      <c r="K12" s="9" t="s">
        <v>198</v>
      </c>
    </row>
    <row r="13" customFormat="false" ht="57.45" hidden="false" customHeight="false" outlineLevel="0" collapsed="false">
      <c r="A13" s="9" t="s">
        <v>226</v>
      </c>
      <c r="B13" s="9" t="s">
        <v>227</v>
      </c>
      <c r="C13" s="9" t="s">
        <v>228</v>
      </c>
      <c r="D13" s="9" t="s">
        <v>151</v>
      </c>
      <c r="E13" s="9" t="s">
        <v>145</v>
      </c>
      <c r="F13" s="9" t="str">
        <f aca="false">IF(D13=E13,"Yes","No – see Data_QA")</f>
        <v>No – see Data_QA</v>
      </c>
      <c r="G13" s="9" t="s">
        <v>229</v>
      </c>
      <c r="H13" s="17" t="n">
        <v>108000000</v>
      </c>
      <c r="I13" s="9" t="s">
        <v>196</v>
      </c>
      <c r="J13" s="9" t="s">
        <v>197</v>
      </c>
      <c r="K13" s="9" t="s">
        <v>198</v>
      </c>
    </row>
    <row r="14" customFormat="false" ht="23.85" hidden="false" customHeight="false" outlineLevel="0" collapsed="false">
      <c r="A14" s="9" t="s">
        <v>230</v>
      </c>
      <c r="B14" s="9" t="s">
        <v>223</v>
      </c>
      <c r="C14" s="9" t="s">
        <v>224</v>
      </c>
      <c r="D14" s="9" t="s">
        <v>151</v>
      </c>
      <c r="E14" s="9" t="s">
        <v>145</v>
      </c>
      <c r="F14" s="9" t="str">
        <f aca="false">IF(D14=E14,"Yes","No – see Data_QA")</f>
        <v>No – see Data_QA</v>
      </c>
      <c r="G14" s="9" t="s">
        <v>231</v>
      </c>
      <c r="H14" s="17" t="n">
        <v>2650000000</v>
      </c>
      <c r="I14" s="9" t="s">
        <v>196</v>
      </c>
      <c r="J14" s="9" t="s">
        <v>197</v>
      </c>
      <c r="K14" s="9" t="s">
        <v>232</v>
      </c>
    </row>
    <row r="15" customFormat="false" ht="23.85" hidden="false" customHeight="false" outlineLevel="0" collapsed="false">
      <c r="A15" s="9" t="s">
        <v>233</v>
      </c>
      <c r="B15" s="9" t="s">
        <v>223</v>
      </c>
      <c r="C15" s="9" t="s">
        <v>224</v>
      </c>
      <c r="D15" s="9" t="s">
        <v>151</v>
      </c>
      <c r="E15" s="9" t="s">
        <v>145</v>
      </c>
      <c r="F15" s="9" t="str">
        <f aca="false">IF(D15=E15,"Yes","No – see Data_QA")</f>
        <v>No – see Data_QA</v>
      </c>
      <c r="G15" s="9" t="s">
        <v>234</v>
      </c>
      <c r="H15" s="17" t="n">
        <v>5200000000</v>
      </c>
      <c r="I15" s="9" t="s">
        <v>196</v>
      </c>
      <c r="J15" s="9" t="s">
        <v>197</v>
      </c>
      <c r="K15" s="9" t="s">
        <v>232</v>
      </c>
    </row>
    <row r="16" customFormat="false" ht="23.85" hidden="false" customHeight="false" outlineLevel="0" collapsed="false">
      <c r="A16" s="9" t="s">
        <v>235</v>
      </c>
      <c r="B16" s="9" t="s">
        <v>236</v>
      </c>
      <c r="C16" s="9" t="s">
        <v>237</v>
      </c>
      <c r="D16" s="9" t="s">
        <v>155</v>
      </c>
      <c r="E16" s="9" t="s">
        <v>155</v>
      </c>
      <c r="F16" s="9" t="str">
        <f aca="false">IF(D16=E16,"Yes","No – see Data_QA")</f>
        <v>Yes</v>
      </c>
      <c r="G16" s="9" t="s">
        <v>238</v>
      </c>
      <c r="H16" s="17" t="n">
        <v>15000000</v>
      </c>
      <c r="I16" s="9" t="s">
        <v>196</v>
      </c>
      <c r="J16" s="9" t="s">
        <v>197</v>
      </c>
      <c r="K16" s="9" t="s">
        <v>198</v>
      </c>
    </row>
    <row r="17" customFormat="false" ht="35.05" hidden="false" customHeight="false" outlineLevel="0" collapsed="false">
      <c r="A17" s="9" t="s">
        <v>239</v>
      </c>
      <c r="B17" s="9" t="s">
        <v>240</v>
      </c>
      <c r="C17" s="9" t="s">
        <v>241</v>
      </c>
      <c r="D17" s="9" t="s">
        <v>162</v>
      </c>
      <c r="E17" s="9" t="s">
        <v>162</v>
      </c>
      <c r="F17" s="9" t="str">
        <f aca="false">IF(D17=E17,"Yes","No – see Data_QA")</f>
        <v>Yes</v>
      </c>
      <c r="G17" s="9" t="s">
        <v>242</v>
      </c>
      <c r="H17" s="17" t="n">
        <v>220000000</v>
      </c>
      <c r="I17" s="9" t="s">
        <v>243</v>
      </c>
      <c r="J17" s="9" t="s">
        <v>244</v>
      </c>
      <c r="K17" s="9" t="s">
        <v>245</v>
      </c>
    </row>
    <row r="18" customFormat="false" ht="23.85" hidden="false" customHeight="false" outlineLevel="0" collapsed="false">
      <c r="A18" s="9" t="s">
        <v>246</v>
      </c>
      <c r="B18" s="9" t="s">
        <v>247</v>
      </c>
      <c r="C18" s="9" t="s">
        <v>248</v>
      </c>
      <c r="D18" s="9" t="s">
        <v>168</v>
      </c>
      <c r="E18" s="9" t="s">
        <v>168</v>
      </c>
      <c r="F18" s="9" t="str">
        <f aca="false">IF(D18=E18,"Yes","No – see Data_QA")</f>
        <v>Yes</v>
      </c>
      <c r="G18" s="9" t="s">
        <v>249</v>
      </c>
      <c r="H18" s="17" t="n">
        <v>10000000000</v>
      </c>
      <c r="I18" s="9" t="s">
        <v>243</v>
      </c>
      <c r="J18" s="9" t="s">
        <v>244</v>
      </c>
      <c r="K18" s="9" t="s">
        <v>198</v>
      </c>
    </row>
    <row r="19" customFormat="false" ht="35.05" hidden="false" customHeight="false" outlineLevel="0" collapsed="false">
      <c r="A19" s="9" t="s">
        <v>250</v>
      </c>
      <c r="B19" s="9" t="s">
        <v>251</v>
      </c>
      <c r="C19" s="9" t="s">
        <v>252</v>
      </c>
      <c r="D19" s="9" t="s">
        <v>172</v>
      </c>
      <c r="E19" s="9" t="s">
        <v>172</v>
      </c>
      <c r="F19" s="9" t="str">
        <f aca="false">IF(D19=E19,"Yes","No – see Data_QA")</f>
        <v>Yes</v>
      </c>
      <c r="G19" s="9" t="s">
        <v>253</v>
      </c>
      <c r="H19" s="17" t="n">
        <v>448000000</v>
      </c>
      <c r="I19" s="9" t="s">
        <v>196</v>
      </c>
      <c r="J19" s="9" t="s">
        <v>197</v>
      </c>
      <c r="K19" s="9" t="s">
        <v>198</v>
      </c>
    </row>
    <row r="20" customFormat="false" ht="23.85" hidden="false" customHeight="false" outlineLevel="0" collapsed="false">
      <c r="A20" s="9" t="s">
        <v>254</v>
      </c>
      <c r="B20" s="9" t="s">
        <v>255</v>
      </c>
      <c r="C20" s="9" t="s">
        <v>256</v>
      </c>
      <c r="D20" s="9" t="s">
        <v>172</v>
      </c>
      <c r="E20" s="9" t="s">
        <v>172</v>
      </c>
      <c r="F20" s="9" t="str">
        <f aca="false">IF(D20=E20,"Yes","No – see Data_QA")</f>
        <v>Yes</v>
      </c>
      <c r="G20" s="9" t="s">
        <v>257</v>
      </c>
      <c r="H20" s="17" t="n">
        <v>150000000</v>
      </c>
      <c r="I20" s="9" t="s">
        <v>243</v>
      </c>
      <c r="J20" s="9" t="s">
        <v>244</v>
      </c>
      <c r="K20" s="9" t="s">
        <v>258</v>
      </c>
    </row>
    <row r="21" customFormat="false" ht="35.05" hidden="false" customHeight="false" outlineLevel="0" collapsed="false">
      <c r="A21" s="9" t="s">
        <v>259</v>
      </c>
      <c r="B21" s="9" t="s">
        <v>260</v>
      </c>
      <c r="C21" s="9" t="s">
        <v>261</v>
      </c>
      <c r="D21" s="9" t="s">
        <v>133</v>
      </c>
      <c r="E21" s="9" t="s">
        <v>128</v>
      </c>
      <c r="F21" s="9" t="str">
        <f aca="false">IF(D21=E21,"Yes","No – see Data_QA")</f>
        <v>No – see Data_QA</v>
      </c>
      <c r="G21" s="9" t="s">
        <v>262</v>
      </c>
      <c r="H21" s="17" t="n">
        <v>12000000</v>
      </c>
      <c r="I21" s="9" t="s">
        <v>196</v>
      </c>
      <c r="J21" s="9" t="s">
        <v>197</v>
      </c>
      <c r="K21" s="9" t="s">
        <v>263</v>
      </c>
    </row>
    <row r="22" customFormat="false" ht="35.05" hidden="false" customHeight="false" outlineLevel="0" collapsed="false">
      <c r="A22" s="9" t="s">
        <v>264</v>
      </c>
      <c r="B22" s="9" t="s">
        <v>265</v>
      </c>
      <c r="C22" s="9" t="s">
        <v>266</v>
      </c>
      <c r="D22" s="9" t="s">
        <v>138</v>
      </c>
      <c r="E22" s="9" t="s">
        <v>138</v>
      </c>
      <c r="F22" s="9" t="str">
        <f aca="false">IF(D22=E22,"Yes","No – see Data_QA")</f>
        <v>Yes</v>
      </c>
      <c r="G22" s="9" t="s">
        <v>267</v>
      </c>
      <c r="H22" s="17" t="n">
        <v>110000000</v>
      </c>
      <c r="I22" s="9" t="s">
        <v>196</v>
      </c>
      <c r="J22" s="9" t="s">
        <v>197</v>
      </c>
      <c r="K22" s="9" t="s">
        <v>198</v>
      </c>
    </row>
    <row r="23" customFormat="false" ht="35.05" hidden="false" customHeight="false" outlineLevel="0" collapsed="false">
      <c r="A23" s="9" t="s">
        <v>268</v>
      </c>
      <c r="B23" s="9" t="s">
        <v>269</v>
      </c>
      <c r="C23" s="9" t="s">
        <v>270</v>
      </c>
      <c r="D23" s="9" t="s">
        <v>138</v>
      </c>
      <c r="E23" s="9" t="s">
        <v>138</v>
      </c>
      <c r="F23" s="9" t="str">
        <f aca="false">IF(D23=E23,"Yes","No – see Data_QA")</f>
        <v>Yes</v>
      </c>
      <c r="G23" s="9" t="s">
        <v>271</v>
      </c>
      <c r="H23" s="17" t="n">
        <v>616000000</v>
      </c>
      <c r="I23" s="9" t="s">
        <v>196</v>
      </c>
      <c r="J23" s="9" t="s">
        <v>197</v>
      </c>
      <c r="K23" s="9" t="s">
        <v>198</v>
      </c>
    </row>
    <row r="24" customFormat="false" ht="23.85" hidden="false" customHeight="false" outlineLevel="0" collapsed="false">
      <c r="A24" s="9" t="s">
        <v>272</v>
      </c>
      <c r="B24" s="9" t="s">
        <v>273</v>
      </c>
      <c r="C24" s="9" t="s">
        <v>274</v>
      </c>
      <c r="D24" s="9" t="s">
        <v>138</v>
      </c>
      <c r="E24" s="9" t="s">
        <v>138</v>
      </c>
      <c r="F24" s="9" t="str">
        <f aca="false">IF(D24=E24,"Yes","No – see Data_QA")</f>
        <v>Yes</v>
      </c>
      <c r="G24" s="9" t="s">
        <v>275</v>
      </c>
      <c r="H24" s="17" t="n">
        <v>4200000000</v>
      </c>
      <c r="I24" s="9" t="s">
        <v>217</v>
      </c>
      <c r="J24" s="9" t="s">
        <v>244</v>
      </c>
      <c r="K24" s="9" t="s">
        <v>198</v>
      </c>
    </row>
    <row r="25" customFormat="false" ht="23.85" hidden="false" customHeight="false" outlineLevel="0" collapsed="false">
      <c r="A25" s="9" t="s">
        <v>276</v>
      </c>
      <c r="B25" s="9" t="s">
        <v>273</v>
      </c>
      <c r="C25" s="9" t="s">
        <v>274</v>
      </c>
      <c r="D25" s="9" t="s">
        <v>138</v>
      </c>
      <c r="E25" s="9" t="s">
        <v>138</v>
      </c>
      <c r="F25" s="9" t="str">
        <f aca="false">IF(D25=E25,"Yes","No – see Data_QA")</f>
        <v>Yes</v>
      </c>
      <c r="G25" s="9" t="s">
        <v>277</v>
      </c>
      <c r="H25" s="17" t="n">
        <v>10500000000</v>
      </c>
      <c r="I25" s="9" t="s">
        <v>217</v>
      </c>
      <c r="J25" s="9" t="s">
        <v>244</v>
      </c>
      <c r="K25" s="9" t="s">
        <v>198</v>
      </c>
    </row>
    <row r="26" customFormat="false" ht="35.05" hidden="false" customHeight="false" outlineLevel="0" collapsed="false">
      <c r="A26" s="9" t="s">
        <v>278</v>
      </c>
      <c r="B26" s="9" t="s">
        <v>269</v>
      </c>
      <c r="C26" s="9" t="s">
        <v>270</v>
      </c>
      <c r="D26" s="9" t="s">
        <v>138</v>
      </c>
      <c r="E26" s="9" t="s">
        <v>138</v>
      </c>
      <c r="F26" s="9" t="str">
        <f aca="false">IF(D26=E26,"Yes","No – see Data_QA")</f>
        <v>Yes</v>
      </c>
      <c r="G26" s="9" t="s">
        <v>279</v>
      </c>
      <c r="H26" s="17" t="n">
        <v>3000000</v>
      </c>
      <c r="I26" s="9" t="s">
        <v>196</v>
      </c>
      <c r="J26" s="9" t="s">
        <v>197</v>
      </c>
      <c r="K26" s="9" t="s">
        <v>198</v>
      </c>
    </row>
    <row r="27" customFormat="false" ht="23.85" hidden="false" customHeight="false" outlineLevel="0" collapsed="false">
      <c r="A27" s="9" t="s">
        <v>280</v>
      </c>
      <c r="B27" s="9" t="s">
        <v>281</v>
      </c>
      <c r="C27" s="9" t="s">
        <v>282</v>
      </c>
      <c r="D27" s="9" t="s">
        <v>90</v>
      </c>
      <c r="E27" s="9" t="s">
        <v>90</v>
      </c>
      <c r="F27" s="9" t="str">
        <f aca="false">IF(D27=E27,"Yes","No – see Data_QA")</f>
        <v>Yes</v>
      </c>
      <c r="G27" s="9" t="s">
        <v>283</v>
      </c>
      <c r="H27" s="17" t="n">
        <v>10000000</v>
      </c>
      <c r="I27" s="9" t="s">
        <v>196</v>
      </c>
      <c r="J27" s="9" t="s">
        <v>197</v>
      </c>
      <c r="K27" s="9" t="s">
        <v>284</v>
      </c>
    </row>
    <row r="28" customFormat="false" ht="23.85" hidden="false" customHeight="false" outlineLevel="0" collapsed="false">
      <c r="A28" s="9" t="s">
        <v>285</v>
      </c>
      <c r="B28" s="9" t="s">
        <v>286</v>
      </c>
      <c r="C28" s="9" t="s">
        <v>287</v>
      </c>
      <c r="D28" s="9" t="s">
        <v>90</v>
      </c>
      <c r="E28" s="9" t="s">
        <v>90</v>
      </c>
      <c r="F28" s="9" t="str">
        <f aca="false">IF(D28=E28,"Yes","No – see Data_QA")</f>
        <v>Yes</v>
      </c>
      <c r="G28" s="9" t="s">
        <v>288</v>
      </c>
      <c r="H28" s="17" t="n">
        <v>100000000</v>
      </c>
      <c r="I28" s="9" t="s">
        <v>196</v>
      </c>
      <c r="J28" s="9" t="s">
        <v>289</v>
      </c>
      <c r="K28" s="9" t="s">
        <v>290</v>
      </c>
    </row>
    <row r="29" customFormat="false" ht="35.05" hidden="false" customHeight="false" outlineLevel="0" collapsed="false">
      <c r="A29" s="9" t="s">
        <v>291</v>
      </c>
      <c r="B29" s="9" t="s">
        <v>281</v>
      </c>
      <c r="C29" s="9" t="s">
        <v>282</v>
      </c>
      <c r="D29" s="9" t="s">
        <v>90</v>
      </c>
      <c r="E29" s="9" t="s">
        <v>90</v>
      </c>
      <c r="F29" s="9" t="str">
        <f aca="false">IF(D29=E29,"Yes","No – see Data_QA")</f>
        <v>Yes</v>
      </c>
      <c r="G29" s="9" t="s">
        <v>292</v>
      </c>
      <c r="H29" s="17" t="n">
        <v>30000000</v>
      </c>
      <c r="I29" s="9" t="s">
        <v>196</v>
      </c>
      <c r="J29" s="9" t="s">
        <v>197</v>
      </c>
      <c r="K29" s="9" t="s">
        <v>293</v>
      </c>
    </row>
    <row r="30" customFormat="false" ht="23.85" hidden="false" customHeight="false" outlineLevel="0" collapsed="false">
      <c r="A30" s="9" t="s">
        <v>294</v>
      </c>
      <c r="B30" s="9" t="s">
        <v>281</v>
      </c>
      <c r="C30" s="9" t="s">
        <v>282</v>
      </c>
      <c r="D30" s="9" t="s">
        <v>90</v>
      </c>
      <c r="E30" s="9" t="s">
        <v>90</v>
      </c>
      <c r="F30" s="9" t="str">
        <f aca="false">IF(D30=E30,"Yes","No – see Data_QA")</f>
        <v>Yes</v>
      </c>
      <c r="G30" s="9" t="s">
        <v>295</v>
      </c>
      <c r="H30" s="17" t="n">
        <v>34000000</v>
      </c>
      <c r="I30" s="9" t="s">
        <v>196</v>
      </c>
      <c r="J30" s="9" t="s">
        <v>197</v>
      </c>
      <c r="K30" s="9" t="s">
        <v>284</v>
      </c>
    </row>
    <row r="31" customFormat="false" ht="23.85" hidden="false" customHeight="false" outlineLevel="0" collapsed="false">
      <c r="A31" s="9" t="s">
        <v>296</v>
      </c>
      <c r="B31" s="9" t="s">
        <v>297</v>
      </c>
      <c r="C31" s="9" t="s">
        <v>298</v>
      </c>
      <c r="D31" s="9" t="s">
        <v>96</v>
      </c>
      <c r="E31" s="9" t="s">
        <v>96</v>
      </c>
      <c r="F31" s="9" t="str">
        <f aca="false">IF(D31=E31,"Yes","No – see Data_QA")</f>
        <v>Yes</v>
      </c>
      <c r="G31" s="9" t="s">
        <v>299</v>
      </c>
      <c r="H31" s="17" t="n">
        <v>1000000</v>
      </c>
      <c r="I31" s="9" t="s">
        <v>196</v>
      </c>
      <c r="J31" s="9" t="s">
        <v>289</v>
      </c>
      <c r="K31" s="9" t="s">
        <v>198</v>
      </c>
    </row>
    <row r="32" customFormat="false" ht="23.85" hidden="false" customHeight="false" outlineLevel="0" collapsed="false">
      <c r="A32" s="9" t="s">
        <v>300</v>
      </c>
      <c r="B32" s="9" t="s">
        <v>301</v>
      </c>
      <c r="C32" s="9" t="s">
        <v>302</v>
      </c>
      <c r="D32" s="9" t="s">
        <v>96</v>
      </c>
      <c r="E32" s="9" t="s">
        <v>96</v>
      </c>
      <c r="F32" s="9" t="str">
        <f aca="false">IF(D32=E32,"Yes","No – see Data_QA")</f>
        <v>Yes</v>
      </c>
      <c r="G32" s="9" t="s">
        <v>303</v>
      </c>
      <c r="H32" s="17" t="n">
        <v>2000000000</v>
      </c>
      <c r="I32" s="9" t="s">
        <v>217</v>
      </c>
      <c r="J32" s="9" t="s">
        <v>218</v>
      </c>
      <c r="K32" s="9" t="s">
        <v>198</v>
      </c>
    </row>
    <row r="33" customFormat="false" ht="23.85" hidden="false" customHeight="false" outlineLevel="0" collapsed="false">
      <c r="A33" s="9" t="s">
        <v>304</v>
      </c>
      <c r="B33" s="9" t="s">
        <v>305</v>
      </c>
      <c r="C33" s="9" t="s">
        <v>306</v>
      </c>
      <c r="D33" s="9" t="s">
        <v>96</v>
      </c>
      <c r="E33" s="9" t="s">
        <v>96</v>
      </c>
      <c r="F33" s="9" t="str">
        <f aca="false">IF(D33=E33,"Yes","No – see Data_QA")</f>
        <v>Yes</v>
      </c>
      <c r="G33" s="9" t="s">
        <v>307</v>
      </c>
      <c r="H33" s="17" t="n">
        <v>1600000000</v>
      </c>
      <c r="I33" s="9" t="s">
        <v>217</v>
      </c>
      <c r="J33" s="9" t="s">
        <v>218</v>
      </c>
      <c r="K33" s="9" t="s">
        <v>221</v>
      </c>
    </row>
    <row r="34" customFormat="false" ht="23.85" hidden="false" customHeight="false" outlineLevel="0" collapsed="false">
      <c r="A34" s="9" t="s">
        <v>308</v>
      </c>
      <c r="B34" s="9" t="s">
        <v>301</v>
      </c>
      <c r="C34" s="9" t="s">
        <v>302</v>
      </c>
      <c r="D34" s="9" t="s">
        <v>102</v>
      </c>
      <c r="E34" s="9" t="s">
        <v>96</v>
      </c>
      <c r="F34" s="9" t="str">
        <f aca="false">IF(D34=E34,"Yes","No – see Data_QA")</f>
        <v>No – see Data_QA</v>
      </c>
      <c r="G34" s="9" t="s">
        <v>309</v>
      </c>
      <c r="H34" s="17" t="n">
        <v>30000000</v>
      </c>
      <c r="I34" s="9" t="s">
        <v>196</v>
      </c>
      <c r="J34" s="9" t="s">
        <v>197</v>
      </c>
      <c r="K34" s="9" t="s">
        <v>221</v>
      </c>
    </row>
    <row r="35" customFormat="false" ht="23.85" hidden="false" customHeight="false" outlineLevel="0" collapsed="false">
      <c r="A35" s="9" t="s">
        <v>310</v>
      </c>
      <c r="B35" s="9" t="s">
        <v>301</v>
      </c>
      <c r="C35" s="9" t="s">
        <v>302</v>
      </c>
      <c r="D35" s="9" t="s">
        <v>96</v>
      </c>
      <c r="E35" s="9" t="s">
        <v>96</v>
      </c>
      <c r="F35" s="9" t="str">
        <f aca="false">IF(D35=E35,"Yes","No – see Data_QA")</f>
        <v>Yes</v>
      </c>
      <c r="G35" s="9" t="s">
        <v>311</v>
      </c>
      <c r="H35" s="17" t="n">
        <v>85000000</v>
      </c>
      <c r="I35" s="9" t="s">
        <v>196</v>
      </c>
      <c r="J35" s="9" t="s">
        <v>197</v>
      </c>
      <c r="K35" s="9" t="s">
        <v>198</v>
      </c>
    </row>
    <row r="36" customFormat="false" ht="15" hidden="false" customHeight="false" outlineLevel="0" collapsed="false">
      <c r="A36" s="9" t="s">
        <v>312</v>
      </c>
      <c r="B36" s="9" t="s">
        <v>313</v>
      </c>
      <c r="C36" s="9" t="s">
        <v>314</v>
      </c>
      <c r="D36" s="9" t="s">
        <v>102</v>
      </c>
      <c r="E36" s="9" t="s">
        <v>102</v>
      </c>
      <c r="F36" s="9" t="str">
        <f aca="false">IF(D36=E36,"Yes","No – see Data_QA")</f>
        <v>Yes</v>
      </c>
      <c r="G36" s="9" t="s">
        <v>315</v>
      </c>
      <c r="H36" s="17" t="n">
        <v>100000000</v>
      </c>
      <c r="I36" s="9" t="s">
        <v>196</v>
      </c>
      <c r="J36" s="9" t="s">
        <v>197</v>
      </c>
      <c r="K36" s="9" t="s">
        <v>198</v>
      </c>
    </row>
    <row r="37" customFormat="false" ht="23.85" hidden="false" customHeight="false" outlineLevel="0" collapsed="false">
      <c r="A37" s="9" t="s">
        <v>316</v>
      </c>
      <c r="B37" s="9" t="s">
        <v>313</v>
      </c>
      <c r="C37" s="9" t="s">
        <v>314</v>
      </c>
      <c r="D37" s="9" t="s">
        <v>102</v>
      </c>
      <c r="E37" s="9" t="s">
        <v>102</v>
      </c>
      <c r="F37" s="9" t="str">
        <f aca="false">IF(D37=E37,"Yes","No – see Data_QA")</f>
        <v>Yes</v>
      </c>
      <c r="G37" s="9" t="s">
        <v>317</v>
      </c>
      <c r="H37" s="17" t="n">
        <v>500000000</v>
      </c>
      <c r="I37" s="9" t="s">
        <v>243</v>
      </c>
      <c r="J37" s="9" t="s">
        <v>244</v>
      </c>
      <c r="K37" s="9" t="s">
        <v>221</v>
      </c>
    </row>
    <row r="38" customFormat="false" ht="23.85" hidden="false" customHeight="false" outlineLevel="0" collapsed="false">
      <c r="A38" s="9" t="s">
        <v>318</v>
      </c>
      <c r="B38" s="9" t="s">
        <v>313</v>
      </c>
      <c r="C38" s="9" t="s">
        <v>314</v>
      </c>
      <c r="D38" s="9" t="s">
        <v>102</v>
      </c>
      <c r="E38" s="9" t="s">
        <v>102</v>
      </c>
      <c r="F38" s="9" t="str">
        <f aca="false">IF(D38=E38,"Yes","No – see Data_QA")</f>
        <v>Yes</v>
      </c>
      <c r="G38" s="9" t="s">
        <v>319</v>
      </c>
      <c r="H38" s="17" t="n">
        <v>1600000000</v>
      </c>
      <c r="I38" s="9" t="s">
        <v>243</v>
      </c>
      <c r="J38" s="9" t="s">
        <v>244</v>
      </c>
      <c r="K38" s="9" t="s">
        <v>221</v>
      </c>
    </row>
    <row r="39" customFormat="false" ht="15" hidden="false" customHeight="false" outlineLevel="0" collapsed="false">
      <c r="G39" s="5" t="s">
        <v>178</v>
      </c>
      <c r="H39" s="18" t="n">
        <f aca="false">SUM(H5:H38)</f>
        <v>60038000000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9"/>
    <col collapsed="false" customWidth="true" hidden="false" outlineLevel="0" max="4" min="4" style="0" width="70"/>
    <col collapsed="false" customWidth="true" hidden="false" outlineLevel="0" max="6" min="5" style="0" width="20"/>
    <col collapsed="false" customWidth="true" hidden="false" outlineLevel="0" max="7" min="7" style="0" width="60"/>
  </cols>
  <sheetData>
    <row r="1" customFormat="false" ht="17.35" hidden="false" customHeight="false" outlineLevel="0" collapsed="false">
      <c r="A1" s="1" t="s">
        <v>320</v>
      </c>
    </row>
    <row r="2" customFormat="false" ht="15" hidden="false" customHeight="false" outlineLevel="0" collapsed="false">
      <c r="A2" s="10" t="s">
        <v>321</v>
      </c>
    </row>
    <row r="4" customFormat="false" ht="23.85" hidden="false" customHeight="false" outlineLevel="0" collapsed="false">
      <c r="A4" s="4" t="s">
        <v>322</v>
      </c>
      <c r="B4" s="4" t="s">
        <v>39</v>
      </c>
      <c r="C4" s="4" t="s">
        <v>323</v>
      </c>
      <c r="D4" s="4" t="s">
        <v>324</v>
      </c>
      <c r="E4" s="4" t="s">
        <v>325</v>
      </c>
      <c r="F4" s="4" t="s">
        <v>326</v>
      </c>
      <c r="G4" s="4" t="s">
        <v>327</v>
      </c>
    </row>
    <row r="5" customFormat="false" ht="23.85" hidden="false" customHeight="false" outlineLevel="0" collapsed="false">
      <c r="A5" s="9" t="s">
        <v>328</v>
      </c>
      <c r="B5" s="9" t="s">
        <v>48</v>
      </c>
      <c r="C5" s="9" t="s">
        <v>329</v>
      </c>
      <c r="D5" s="6" t="s">
        <v>330</v>
      </c>
      <c r="E5" s="9" t="s">
        <v>331</v>
      </c>
      <c r="F5" s="9" t="s">
        <v>332</v>
      </c>
      <c r="G5" s="9" t="s">
        <v>333</v>
      </c>
    </row>
    <row r="6" customFormat="false" ht="23.85" hidden="false" customHeight="false" outlineLevel="0" collapsed="false">
      <c r="A6" s="9" t="s">
        <v>334</v>
      </c>
      <c r="B6" s="9" t="s">
        <v>48</v>
      </c>
      <c r="C6" s="9" t="s">
        <v>329</v>
      </c>
      <c r="D6" s="6" t="s">
        <v>335</v>
      </c>
      <c r="E6" s="9" t="s">
        <v>336</v>
      </c>
      <c r="F6" s="9" t="s">
        <v>332</v>
      </c>
      <c r="G6" s="9" t="s">
        <v>337</v>
      </c>
    </row>
    <row r="7" customFormat="false" ht="23.85" hidden="false" customHeight="false" outlineLevel="0" collapsed="false">
      <c r="A7" s="9" t="s">
        <v>338</v>
      </c>
      <c r="B7" s="9" t="s">
        <v>48</v>
      </c>
      <c r="C7" s="9" t="s">
        <v>329</v>
      </c>
      <c r="D7" s="6" t="s">
        <v>339</v>
      </c>
      <c r="E7" s="9" t="s">
        <v>331</v>
      </c>
      <c r="F7" s="9" t="s">
        <v>340</v>
      </c>
      <c r="G7" s="9" t="s">
        <v>341</v>
      </c>
    </row>
    <row r="8" customFormat="false" ht="23.85" hidden="false" customHeight="false" outlineLevel="0" collapsed="false">
      <c r="A8" s="9" t="s">
        <v>342</v>
      </c>
      <c r="B8" s="9" t="s">
        <v>48</v>
      </c>
      <c r="C8" s="9" t="s">
        <v>329</v>
      </c>
      <c r="D8" s="6" t="s">
        <v>343</v>
      </c>
      <c r="E8" s="9" t="s">
        <v>331</v>
      </c>
      <c r="F8" s="9" t="s">
        <v>340</v>
      </c>
      <c r="G8" s="9" t="s">
        <v>344</v>
      </c>
    </row>
    <row r="9" customFormat="false" ht="35.05" hidden="false" customHeight="false" outlineLevel="0" collapsed="false">
      <c r="A9" s="9" t="s">
        <v>345</v>
      </c>
      <c r="B9" s="9" t="s">
        <v>48</v>
      </c>
      <c r="C9" s="9" t="s">
        <v>346</v>
      </c>
      <c r="D9" s="6" t="s">
        <v>347</v>
      </c>
      <c r="E9" s="9" t="s">
        <v>348</v>
      </c>
      <c r="F9" s="9" t="s">
        <v>349</v>
      </c>
      <c r="G9" s="9" t="s">
        <v>350</v>
      </c>
    </row>
    <row r="10" customFormat="false" ht="23.85" hidden="false" customHeight="false" outlineLevel="0" collapsed="false">
      <c r="A10" s="9" t="s">
        <v>351</v>
      </c>
      <c r="B10" s="9" t="s">
        <v>48</v>
      </c>
      <c r="C10" s="9" t="s">
        <v>346</v>
      </c>
      <c r="D10" s="6" t="s">
        <v>352</v>
      </c>
      <c r="E10" s="9" t="s">
        <v>348</v>
      </c>
      <c r="F10" s="9" t="s">
        <v>349</v>
      </c>
      <c r="G10" s="9" t="s">
        <v>353</v>
      </c>
    </row>
    <row r="11" customFormat="false" ht="23.85" hidden="false" customHeight="false" outlineLevel="0" collapsed="false">
      <c r="A11" s="9" t="s">
        <v>354</v>
      </c>
      <c r="B11" s="9" t="s">
        <v>48</v>
      </c>
      <c r="C11" s="9" t="s">
        <v>355</v>
      </c>
      <c r="D11" s="6" t="s">
        <v>356</v>
      </c>
      <c r="E11" s="9" t="s">
        <v>348</v>
      </c>
      <c r="F11" s="9" t="s">
        <v>340</v>
      </c>
      <c r="G11" s="9" t="s">
        <v>357</v>
      </c>
    </row>
    <row r="12" customFormat="false" ht="23.85" hidden="false" customHeight="false" outlineLevel="0" collapsed="false">
      <c r="A12" s="9" t="s">
        <v>358</v>
      </c>
      <c r="B12" s="9" t="s">
        <v>48</v>
      </c>
      <c r="C12" s="9" t="s">
        <v>359</v>
      </c>
      <c r="D12" s="6" t="s">
        <v>360</v>
      </c>
      <c r="E12" s="9" t="s">
        <v>348</v>
      </c>
      <c r="F12" s="9" t="s">
        <v>349</v>
      </c>
      <c r="G12" s="9" t="s">
        <v>361</v>
      </c>
    </row>
    <row r="13" customFormat="false" ht="23.85" hidden="false" customHeight="false" outlineLevel="0" collapsed="false">
      <c r="A13" s="9" t="s">
        <v>362</v>
      </c>
      <c r="B13" s="9" t="s">
        <v>48</v>
      </c>
      <c r="C13" s="9" t="s">
        <v>359</v>
      </c>
      <c r="D13" s="6" t="s">
        <v>363</v>
      </c>
      <c r="E13" s="9" t="s">
        <v>348</v>
      </c>
      <c r="F13" s="9" t="s">
        <v>349</v>
      </c>
      <c r="G13" s="9" t="s">
        <v>364</v>
      </c>
    </row>
    <row r="14" customFormat="false" ht="15" hidden="false" customHeight="false" outlineLevel="0" collapsed="false">
      <c r="A14" s="9" t="s">
        <v>365</v>
      </c>
      <c r="B14" s="9" t="s">
        <v>48</v>
      </c>
      <c r="C14" s="9" t="s">
        <v>366</v>
      </c>
      <c r="D14" s="6" t="s">
        <v>367</v>
      </c>
      <c r="E14" s="9" t="s">
        <v>368</v>
      </c>
      <c r="F14" s="9" t="s">
        <v>340</v>
      </c>
      <c r="G14" s="9" t="s">
        <v>369</v>
      </c>
    </row>
    <row r="15" customFormat="false" ht="23.85" hidden="false" customHeight="false" outlineLevel="0" collapsed="false">
      <c r="A15" s="9" t="s">
        <v>370</v>
      </c>
      <c r="B15" s="9" t="s">
        <v>48</v>
      </c>
      <c r="C15" s="9" t="s">
        <v>366</v>
      </c>
      <c r="D15" s="6" t="s">
        <v>371</v>
      </c>
      <c r="E15" s="9" t="s">
        <v>368</v>
      </c>
      <c r="F15" s="9" t="s">
        <v>332</v>
      </c>
      <c r="G15" s="9" t="s">
        <v>372</v>
      </c>
    </row>
    <row r="16" customFormat="false" ht="23.85" hidden="false" customHeight="false" outlineLevel="0" collapsed="false">
      <c r="A16" s="9" t="s">
        <v>373</v>
      </c>
      <c r="B16" s="9" t="s">
        <v>48</v>
      </c>
      <c r="C16" s="9" t="s">
        <v>366</v>
      </c>
      <c r="D16" s="6" t="s">
        <v>374</v>
      </c>
      <c r="E16" s="9" t="s">
        <v>368</v>
      </c>
      <c r="F16" s="9" t="s">
        <v>332</v>
      </c>
      <c r="G16" s="9" t="s">
        <v>375</v>
      </c>
    </row>
    <row r="17" customFormat="false" ht="15" hidden="false" customHeight="false" outlineLevel="0" collapsed="false">
      <c r="A17" s="9" t="s">
        <v>376</v>
      </c>
      <c r="B17" s="9" t="s">
        <v>48</v>
      </c>
      <c r="C17" s="9" t="s">
        <v>377</v>
      </c>
      <c r="D17" s="6" t="s">
        <v>378</v>
      </c>
      <c r="E17" s="9" t="s">
        <v>187</v>
      </c>
      <c r="F17" s="9" t="s">
        <v>340</v>
      </c>
      <c r="G17" s="9" t="s">
        <v>379</v>
      </c>
    </row>
    <row r="18" customFormat="false" ht="23.85" hidden="false" customHeight="false" outlineLevel="0" collapsed="false">
      <c r="A18" s="9" t="s">
        <v>380</v>
      </c>
      <c r="B18" s="9" t="s">
        <v>48</v>
      </c>
      <c r="C18" s="9" t="s">
        <v>381</v>
      </c>
      <c r="D18" s="6" t="s">
        <v>382</v>
      </c>
      <c r="E18" s="9" t="s">
        <v>348</v>
      </c>
      <c r="F18" s="9" t="s">
        <v>349</v>
      </c>
      <c r="G18" s="9" t="s">
        <v>383</v>
      </c>
    </row>
    <row r="19" customFormat="false" ht="15" hidden="false" customHeight="false" outlineLevel="0" collapsed="false">
      <c r="A19" s="9" t="s">
        <v>384</v>
      </c>
      <c r="B19" s="9" t="s">
        <v>48</v>
      </c>
      <c r="C19" s="9" t="s">
        <v>385</v>
      </c>
      <c r="D19" s="6" t="s">
        <v>386</v>
      </c>
      <c r="E19" s="9" t="s">
        <v>348</v>
      </c>
      <c r="F19" s="9" t="s">
        <v>349</v>
      </c>
      <c r="G19" s="9" t="s">
        <v>387</v>
      </c>
    </row>
    <row r="20" customFormat="false" ht="23.85" hidden="false" customHeight="false" outlineLevel="0" collapsed="false">
      <c r="A20" s="9" t="s">
        <v>388</v>
      </c>
      <c r="B20" s="9" t="s">
        <v>56</v>
      </c>
      <c r="C20" s="9" t="s">
        <v>389</v>
      </c>
      <c r="D20" s="6" t="s">
        <v>390</v>
      </c>
      <c r="E20" s="9" t="s">
        <v>391</v>
      </c>
      <c r="F20" s="9" t="s">
        <v>340</v>
      </c>
      <c r="G20" s="9" t="s">
        <v>392</v>
      </c>
    </row>
    <row r="21" customFormat="false" ht="15" hidden="false" customHeight="false" outlineLevel="0" collapsed="false">
      <c r="A21" s="9" t="s">
        <v>393</v>
      </c>
      <c r="B21" s="9" t="s">
        <v>56</v>
      </c>
      <c r="C21" s="9" t="s">
        <v>389</v>
      </c>
      <c r="D21" s="6" t="s">
        <v>394</v>
      </c>
      <c r="E21" s="9" t="s">
        <v>336</v>
      </c>
      <c r="F21" s="9" t="s">
        <v>340</v>
      </c>
      <c r="G21" s="9" t="s">
        <v>395</v>
      </c>
    </row>
    <row r="22" customFormat="false" ht="15" hidden="false" customHeight="false" outlineLevel="0" collapsed="false">
      <c r="A22" s="9" t="s">
        <v>396</v>
      </c>
      <c r="B22" s="9" t="s">
        <v>56</v>
      </c>
      <c r="C22" s="9" t="s">
        <v>377</v>
      </c>
      <c r="D22" s="6" t="s">
        <v>397</v>
      </c>
      <c r="E22" s="9" t="s">
        <v>348</v>
      </c>
      <c r="F22" s="9" t="s">
        <v>349</v>
      </c>
      <c r="G22" s="9" t="s">
        <v>398</v>
      </c>
    </row>
    <row r="23" customFormat="false" ht="23.85" hidden="false" customHeight="false" outlineLevel="0" collapsed="false">
      <c r="A23" s="9" t="s">
        <v>399</v>
      </c>
      <c r="B23" s="9" t="s">
        <v>56</v>
      </c>
      <c r="C23" s="9" t="s">
        <v>346</v>
      </c>
      <c r="D23" s="6" t="s">
        <v>400</v>
      </c>
      <c r="E23" s="9" t="s">
        <v>348</v>
      </c>
      <c r="F23" s="9" t="s">
        <v>349</v>
      </c>
      <c r="G23" s="9" t="s">
        <v>401</v>
      </c>
    </row>
    <row r="24" customFormat="false" ht="23.85" hidden="false" customHeight="false" outlineLevel="0" collapsed="false">
      <c r="A24" s="9" t="s">
        <v>402</v>
      </c>
      <c r="B24" s="9" t="s">
        <v>56</v>
      </c>
      <c r="C24" s="9" t="s">
        <v>403</v>
      </c>
      <c r="D24" s="6" t="s">
        <v>404</v>
      </c>
      <c r="E24" s="9" t="s">
        <v>348</v>
      </c>
      <c r="F24" s="9" t="s">
        <v>349</v>
      </c>
      <c r="G24" s="9" t="s">
        <v>405</v>
      </c>
    </row>
    <row r="25" customFormat="false" ht="23.85" hidden="false" customHeight="false" outlineLevel="0" collapsed="false">
      <c r="A25" s="9" t="s">
        <v>406</v>
      </c>
      <c r="B25" s="9" t="s">
        <v>56</v>
      </c>
      <c r="C25" s="9" t="s">
        <v>403</v>
      </c>
      <c r="D25" s="6" t="s">
        <v>407</v>
      </c>
      <c r="E25" s="9" t="s">
        <v>348</v>
      </c>
      <c r="F25" s="9" t="s">
        <v>349</v>
      </c>
      <c r="G25" s="9" t="s">
        <v>408</v>
      </c>
    </row>
    <row r="26" customFormat="false" ht="23.85" hidden="false" customHeight="false" outlineLevel="0" collapsed="false">
      <c r="A26" s="9" t="s">
        <v>409</v>
      </c>
      <c r="B26" s="9" t="s">
        <v>56</v>
      </c>
      <c r="C26" s="9" t="s">
        <v>410</v>
      </c>
      <c r="D26" s="6" t="s">
        <v>411</v>
      </c>
      <c r="E26" s="9" t="s">
        <v>348</v>
      </c>
      <c r="F26" s="9" t="s">
        <v>349</v>
      </c>
      <c r="G26" s="9" t="s">
        <v>412</v>
      </c>
    </row>
    <row r="27" customFormat="false" ht="23.85" hidden="false" customHeight="false" outlineLevel="0" collapsed="false">
      <c r="A27" s="9" t="s">
        <v>413</v>
      </c>
      <c r="B27" s="9" t="s">
        <v>56</v>
      </c>
      <c r="C27" s="9" t="s">
        <v>414</v>
      </c>
      <c r="D27" s="6" t="s">
        <v>415</v>
      </c>
      <c r="E27" s="9" t="s">
        <v>416</v>
      </c>
      <c r="F27" s="9" t="s">
        <v>332</v>
      </c>
      <c r="G27" s="9" t="s">
        <v>417</v>
      </c>
    </row>
    <row r="28" customFormat="false" ht="23.85" hidden="false" customHeight="false" outlineLevel="0" collapsed="false">
      <c r="A28" s="9" t="s">
        <v>418</v>
      </c>
      <c r="B28" s="9" t="s">
        <v>56</v>
      </c>
      <c r="C28" s="9" t="s">
        <v>414</v>
      </c>
      <c r="D28" s="6" t="s">
        <v>419</v>
      </c>
      <c r="E28" s="9" t="s">
        <v>416</v>
      </c>
      <c r="F28" s="9" t="s">
        <v>332</v>
      </c>
      <c r="G28" s="9" t="s">
        <v>420</v>
      </c>
    </row>
    <row r="29" customFormat="false" ht="23.85" hidden="false" customHeight="false" outlineLevel="0" collapsed="false">
      <c r="A29" s="9" t="s">
        <v>421</v>
      </c>
      <c r="B29" s="9" t="s">
        <v>56</v>
      </c>
      <c r="C29" s="9" t="s">
        <v>422</v>
      </c>
      <c r="D29" s="6" t="s">
        <v>423</v>
      </c>
      <c r="E29" s="9" t="s">
        <v>416</v>
      </c>
      <c r="F29" s="9" t="s">
        <v>332</v>
      </c>
      <c r="G29" s="9" t="s">
        <v>424</v>
      </c>
    </row>
    <row r="30" customFormat="false" ht="23.85" hidden="false" customHeight="false" outlineLevel="0" collapsed="false">
      <c r="A30" s="9" t="s">
        <v>425</v>
      </c>
      <c r="B30" s="9" t="s">
        <v>56</v>
      </c>
      <c r="C30" s="9" t="s">
        <v>422</v>
      </c>
      <c r="D30" s="6" t="s">
        <v>426</v>
      </c>
      <c r="E30" s="9" t="s">
        <v>416</v>
      </c>
      <c r="F30" s="9" t="s">
        <v>332</v>
      </c>
      <c r="G30" s="9" t="s">
        <v>427</v>
      </c>
    </row>
    <row r="31" customFormat="false" ht="23.85" hidden="false" customHeight="false" outlineLevel="0" collapsed="false">
      <c r="A31" s="9" t="s">
        <v>428</v>
      </c>
      <c r="B31" s="9" t="s">
        <v>56</v>
      </c>
      <c r="C31" s="9" t="s">
        <v>429</v>
      </c>
      <c r="D31" s="6" t="s">
        <v>430</v>
      </c>
      <c r="E31" s="9" t="s">
        <v>416</v>
      </c>
      <c r="F31" s="9" t="s">
        <v>340</v>
      </c>
      <c r="G31" s="9" t="s">
        <v>431</v>
      </c>
    </row>
    <row r="32" customFormat="false" ht="23.85" hidden="false" customHeight="false" outlineLevel="0" collapsed="false">
      <c r="A32" s="9" t="s">
        <v>432</v>
      </c>
      <c r="B32" s="9" t="s">
        <v>56</v>
      </c>
      <c r="C32" s="9" t="s">
        <v>429</v>
      </c>
      <c r="D32" s="6" t="s">
        <v>433</v>
      </c>
      <c r="E32" s="9" t="s">
        <v>416</v>
      </c>
      <c r="F32" s="9" t="s">
        <v>340</v>
      </c>
      <c r="G32" s="9" t="s">
        <v>434</v>
      </c>
    </row>
    <row r="33" customFormat="false" ht="23.85" hidden="false" customHeight="false" outlineLevel="0" collapsed="false">
      <c r="A33" s="9" t="s">
        <v>435</v>
      </c>
      <c r="B33" s="9" t="s">
        <v>56</v>
      </c>
      <c r="C33" s="9" t="s">
        <v>429</v>
      </c>
      <c r="D33" s="6" t="s">
        <v>436</v>
      </c>
      <c r="E33" s="9" t="s">
        <v>416</v>
      </c>
      <c r="F33" s="9" t="s">
        <v>340</v>
      </c>
      <c r="G33" s="9" t="s">
        <v>437</v>
      </c>
    </row>
    <row r="34" customFormat="false" ht="23.85" hidden="false" customHeight="false" outlineLevel="0" collapsed="false">
      <c r="A34" s="9" t="s">
        <v>438</v>
      </c>
      <c r="B34" s="9" t="s">
        <v>56</v>
      </c>
      <c r="C34" s="9" t="s">
        <v>359</v>
      </c>
      <c r="D34" s="6" t="s">
        <v>439</v>
      </c>
      <c r="E34" s="9" t="s">
        <v>440</v>
      </c>
      <c r="F34" s="9" t="s">
        <v>340</v>
      </c>
      <c r="G34" s="9" t="s">
        <v>441</v>
      </c>
    </row>
    <row r="35" customFormat="false" ht="15" hidden="false" customHeight="false" outlineLevel="0" collapsed="false">
      <c r="A35" s="9" t="s">
        <v>442</v>
      </c>
      <c r="B35" s="9" t="s">
        <v>56</v>
      </c>
      <c r="C35" s="9" t="s">
        <v>403</v>
      </c>
      <c r="D35" s="6" t="s">
        <v>443</v>
      </c>
      <c r="E35" s="9" t="s">
        <v>348</v>
      </c>
      <c r="F35" s="9" t="s">
        <v>349</v>
      </c>
      <c r="G35" s="9" t="s">
        <v>444</v>
      </c>
    </row>
    <row r="36" customFormat="false" ht="15" hidden="false" customHeight="false" outlineLevel="0" collapsed="false">
      <c r="A36" s="9" t="s">
        <v>445</v>
      </c>
      <c r="B36" s="9" t="s">
        <v>56</v>
      </c>
      <c r="C36" s="9" t="s">
        <v>355</v>
      </c>
      <c r="D36" s="6" t="s">
        <v>446</v>
      </c>
      <c r="E36" s="9" t="s">
        <v>348</v>
      </c>
      <c r="F36" s="9" t="s">
        <v>349</v>
      </c>
      <c r="G36" s="9" t="s">
        <v>447</v>
      </c>
    </row>
    <row r="37" customFormat="false" ht="23.85" hidden="false" customHeight="false" outlineLevel="0" collapsed="false">
      <c r="A37" s="9" t="s">
        <v>448</v>
      </c>
      <c r="B37" s="9" t="s">
        <v>56</v>
      </c>
      <c r="C37" s="9" t="s">
        <v>449</v>
      </c>
      <c r="D37" s="6" t="s">
        <v>450</v>
      </c>
      <c r="E37" s="9" t="s">
        <v>368</v>
      </c>
      <c r="F37" s="9" t="s">
        <v>340</v>
      </c>
      <c r="G37" s="9" t="s">
        <v>451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5"/>
    <col collapsed="false" customWidth="true" hidden="false" outlineLevel="0" max="6" min="4" style="0" width="12"/>
    <col collapsed="false" customWidth="true" hidden="false" outlineLevel="0" max="7" min="7" style="0" width="40"/>
    <col collapsed="false" customWidth="true" hidden="false" outlineLevel="0" max="8" min="8" style="0" width="11"/>
    <col collapsed="false" customWidth="true" hidden="false" outlineLevel="0" max="9" min="9" style="0" width="60"/>
  </cols>
  <sheetData>
    <row r="1" customFormat="false" ht="17.35" hidden="false" customHeight="false" outlineLevel="0" collapsed="false">
      <c r="A1" s="1" t="s">
        <v>452</v>
      </c>
    </row>
    <row r="2" customFormat="false" ht="15" hidden="false" customHeight="false" outlineLevel="0" collapsed="false">
      <c r="A2" s="10" t="s">
        <v>453</v>
      </c>
    </row>
    <row r="4" customFormat="false" ht="35.05" hidden="false" customHeight="false" outlineLevel="0" collapsed="false">
      <c r="A4" s="4" t="s">
        <v>322</v>
      </c>
      <c r="B4" s="4" t="s">
        <v>39</v>
      </c>
      <c r="C4" s="4" t="s">
        <v>454</v>
      </c>
      <c r="D4" s="4" t="s">
        <v>455</v>
      </c>
      <c r="E4" s="4" t="s">
        <v>456</v>
      </c>
      <c r="F4" s="4" t="s">
        <v>457</v>
      </c>
      <c r="G4" s="4" t="s">
        <v>84</v>
      </c>
      <c r="H4" s="4" t="s">
        <v>458</v>
      </c>
      <c r="I4" s="4" t="s">
        <v>459</v>
      </c>
    </row>
    <row r="5" customFormat="false" ht="23.85" hidden="false" customHeight="false" outlineLevel="0" collapsed="false">
      <c r="A5" s="9" t="s">
        <v>328</v>
      </c>
      <c r="B5" s="19" t="str">
        <f aca="false">INDEX(Evidence_Log!$B:$B,MATCH(A5,Evidence_Log!$A:$A,0))</f>
        <v>SRC-01</v>
      </c>
      <c r="C5" s="6" t="s">
        <v>460</v>
      </c>
      <c r="D5" s="6" t="s">
        <v>114</v>
      </c>
      <c r="E5" s="6" t="s">
        <v>461</v>
      </c>
      <c r="F5" s="6" t="s">
        <v>96</v>
      </c>
      <c r="G5" s="19" t="str">
        <f aca="false">IFERROR(INDEX(Taxonomy!$H:$H,MATCH(D5,Taxonomy!$C:$C,0)),"Cross-cutting")</f>
        <v>Sustainable use of nature; farming (indicative)</v>
      </c>
      <c r="H5" s="6" t="s">
        <v>462</v>
      </c>
      <c r="I5" s="9" t="s">
        <v>463</v>
      </c>
    </row>
    <row r="6" customFormat="false" ht="15" hidden="false" customHeight="false" outlineLevel="0" collapsed="false">
      <c r="A6" s="9" t="s">
        <v>334</v>
      </c>
      <c r="B6" s="19" t="str">
        <f aca="false">INDEX(Evidence_Log!$B:$B,MATCH(A6,Evidence_Log!$A:$A,0))</f>
        <v>SRC-01</v>
      </c>
      <c r="C6" s="6" t="s">
        <v>460</v>
      </c>
      <c r="D6" s="6" t="s">
        <v>114</v>
      </c>
      <c r="E6" s="6" t="s">
        <v>461</v>
      </c>
      <c r="F6" s="6" t="s">
        <v>96</v>
      </c>
      <c r="G6" s="19" t="str">
        <f aca="false">IFERROR(INDEX(Taxonomy!$H:$H,MATCH(D6,Taxonomy!$C:$C,0)),"Cross-cutting")</f>
        <v>Sustainable use of nature; farming (indicative)</v>
      </c>
      <c r="H6" s="6" t="s">
        <v>462</v>
      </c>
      <c r="I6" s="9" t="s">
        <v>464</v>
      </c>
    </row>
    <row r="7" customFormat="false" ht="23.85" hidden="false" customHeight="false" outlineLevel="0" collapsed="false">
      <c r="A7" s="9" t="s">
        <v>338</v>
      </c>
      <c r="B7" s="19" t="str">
        <f aca="false">INDEX(Evidence_Log!$B:$B,MATCH(A7,Evidence_Log!$A:$A,0))</f>
        <v>SRC-01</v>
      </c>
      <c r="C7" s="6" t="s">
        <v>460</v>
      </c>
      <c r="D7" s="6" t="s">
        <v>138</v>
      </c>
      <c r="E7" s="6" t="s">
        <v>265</v>
      </c>
      <c r="F7" s="6" t="s">
        <v>114</v>
      </c>
      <c r="G7" s="19" t="str">
        <f aca="false">IFERROR(INDEX(Taxonomy!$H:$H,MATCH(D7,Taxonomy!$C:$C,0)),"Cross-cutting")</f>
        <v>Thriving plants and wildlife; habitat protection (indicative)</v>
      </c>
      <c r="H7" s="6" t="s">
        <v>465</v>
      </c>
      <c r="I7" s="9" t="s">
        <v>466</v>
      </c>
    </row>
    <row r="8" customFormat="false" ht="23.85" hidden="false" customHeight="false" outlineLevel="0" collapsed="false">
      <c r="A8" s="9" t="s">
        <v>342</v>
      </c>
      <c r="B8" s="19" t="str">
        <f aca="false">INDEX(Evidence_Log!$B:$B,MATCH(A8,Evidence_Log!$A:$A,0))</f>
        <v>SRC-01</v>
      </c>
      <c r="C8" s="6" t="s">
        <v>460</v>
      </c>
      <c r="D8" s="6" t="s">
        <v>145</v>
      </c>
      <c r="E8" s="6" t="s">
        <v>227</v>
      </c>
      <c r="F8" s="6" t="s">
        <v>155</v>
      </c>
      <c r="G8" s="19" t="str">
        <f aca="false">IFERROR(INDEX(Taxonomy!$H:$H,MATCH(D8,Taxonomy!$C:$C,0)),"Cross-cutting")</f>
        <v>Climate adaptation; environmental hazards (indicative)</v>
      </c>
      <c r="H8" s="6" t="s">
        <v>462</v>
      </c>
      <c r="I8" s="9" t="s">
        <v>467</v>
      </c>
    </row>
    <row r="9" customFormat="false" ht="23.85" hidden="false" customHeight="false" outlineLevel="0" collapsed="false">
      <c r="A9" s="9" t="s">
        <v>345</v>
      </c>
      <c r="B9" s="19" t="str">
        <f aca="false">INDEX(Evidence_Log!$B:$B,MATCH(A9,Evidence_Log!$A:$A,0))</f>
        <v>SRC-01</v>
      </c>
      <c r="C9" s="6" t="s">
        <v>349</v>
      </c>
      <c r="D9" s="6" t="s">
        <v>138</v>
      </c>
      <c r="E9" s="6" t="s">
        <v>265</v>
      </c>
      <c r="F9" s="6" t="s">
        <v>128</v>
      </c>
      <c r="G9" s="19" t="str">
        <f aca="false">IFERROR(INDEX(Taxonomy!$H:$H,MATCH(D9,Taxonomy!$C:$C,0)),"Cross-cutting")</f>
        <v>Thriving plants and wildlife; habitat protection (indicative)</v>
      </c>
      <c r="H9" s="6" t="s">
        <v>462</v>
      </c>
      <c r="I9" s="9" t="s">
        <v>468</v>
      </c>
    </row>
    <row r="10" customFormat="false" ht="23.85" hidden="false" customHeight="false" outlineLevel="0" collapsed="false">
      <c r="A10" s="9" t="s">
        <v>351</v>
      </c>
      <c r="B10" s="19" t="str">
        <f aca="false">INDEX(Evidence_Log!$B:$B,MATCH(A10,Evidence_Log!$A:$A,0))</f>
        <v>SRC-01</v>
      </c>
      <c r="C10" s="6" t="s">
        <v>349</v>
      </c>
      <c r="D10" s="6" t="s">
        <v>133</v>
      </c>
      <c r="E10" s="6" t="s">
        <v>469</v>
      </c>
      <c r="F10" s="6" t="s">
        <v>138</v>
      </c>
      <c r="G10" s="19" t="str">
        <f aca="false">IFERROR(INDEX(Taxonomy!$H:$H,MATCH(D10,Taxonomy!$C:$C,0)),"Cross-cutting")</f>
        <v>Thriving plants and wildlife; green infrastructure (indicative)</v>
      </c>
      <c r="H10" s="6" t="s">
        <v>462</v>
      </c>
      <c r="I10" s="9" t="s">
        <v>470</v>
      </c>
    </row>
    <row r="11" customFormat="false" ht="15" hidden="false" customHeight="false" outlineLevel="0" collapsed="false">
      <c r="A11" s="9" t="s">
        <v>354</v>
      </c>
      <c r="B11" s="19" t="str">
        <f aca="false">INDEX(Evidence_Log!$B:$B,MATCH(A11,Evidence_Log!$A:$A,0))</f>
        <v>SRC-01</v>
      </c>
      <c r="C11" s="6" t="s">
        <v>471</v>
      </c>
      <c r="D11" s="6" t="s">
        <v>96</v>
      </c>
      <c r="E11" s="6" t="s">
        <v>301</v>
      </c>
      <c r="F11" s="6" t="s">
        <v>108</v>
      </c>
      <c r="G11" s="19" t="str">
        <f aca="false">IFERROR(INDEX(Taxonomy!$H:$H,MATCH(D11,Taxonomy!$C:$C,0)),"Cross-cutting")</f>
        <v>Goal 3: Water (indicative)</v>
      </c>
      <c r="H11" s="6" t="s">
        <v>465</v>
      </c>
      <c r="I11" s="9" t="s">
        <v>472</v>
      </c>
    </row>
    <row r="12" customFormat="false" ht="15" hidden="false" customHeight="false" outlineLevel="0" collapsed="false">
      <c r="A12" s="9" t="s">
        <v>358</v>
      </c>
      <c r="B12" s="19" t="str">
        <f aca="false">INDEX(Evidence_Log!$B:$B,MATCH(A12,Evidence_Log!$A:$A,0))</f>
        <v>SRC-01</v>
      </c>
      <c r="C12" s="6" t="s">
        <v>349</v>
      </c>
      <c r="D12" s="6" t="s">
        <v>473</v>
      </c>
      <c r="E12" s="6" t="s">
        <v>69</v>
      </c>
      <c r="F12" s="6" t="s">
        <v>69</v>
      </c>
      <c r="G12" s="19" t="str">
        <f aca="false">IFERROR(INDEX(Taxonomy!$H:$H,MATCH(D12,Taxonomy!$C:$C,0)),"Cross-cutting")</f>
        <v>Cross-cutting</v>
      </c>
      <c r="H12" s="6" t="s">
        <v>465</v>
      </c>
      <c r="I12" s="9" t="s">
        <v>474</v>
      </c>
    </row>
    <row r="13" customFormat="false" ht="15" hidden="false" customHeight="false" outlineLevel="0" collapsed="false">
      <c r="A13" s="9" t="s">
        <v>362</v>
      </c>
      <c r="B13" s="19" t="str">
        <f aca="false">INDEX(Evidence_Log!$B:$B,MATCH(A13,Evidence_Log!$A:$A,0))</f>
        <v>SRC-01</v>
      </c>
      <c r="C13" s="6" t="s">
        <v>349</v>
      </c>
      <c r="D13" s="6" t="s">
        <v>473</v>
      </c>
      <c r="E13" s="6" t="s">
        <v>69</v>
      </c>
      <c r="F13" s="6" t="s">
        <v>69</v>
      </c>
      <c r="G13" s="19" t="str">
        <f aca="false">IFERROR(INDEX(Taxonomy!$H:$H,MATCH(D13,Taxonomy!$C:$C,0)),"Cross-cutting")</f>
        <v>Cross-cutting</v>
      </c>
      <c r="H13" s="6" t="s">
        <v>465</v>
      </c>
      <c r="I13" s="9" t="s">
        <v>475</v>
      </c>
    </row>
    <row r="14" customFormat="false" ht="23.85" hidden="false" customHeight="false" outlineLevel="0" collapsed="false">
      <c r="A14" s="9" t="s">
        <v>365</v>
      </c>
      <c r="B14" s="19" t="str">
        <f aca="false">INDEX(Evidence_Log!$B:$B,MATCH(A14,Evidence_Log!$A:$A,0))</f>
        <v>SRC-01</v>
      </c>
      <c r="C14" s="6" t="s">
        <v>471</v>
      </c>
      <c r="D14" s="6" t="s">
        <v>128</v>
      </c>
      <c r="E14" s="6" t="s">
        <v>476</v>
      </c>
      <c r="F14" s="6" t="s">
        <v>151</v>
      </c>
      <c r="G14" s="19" t="str">
        <f aca="false">IFERROR(INDEX(Taxonomy!$H:$H,MATCH(D14,Taxonomy!$C:$C,0)),"Cross-cutting")</f>
        <v>Thriving plants and wildlife; nature in development (indicative)</v>
      </c>
      <c r="H14" s="6" t="s">
        <v>462</v>
      </c>
      <c r="I14" s="9" t="s">
        <v>477</v>
      </c>
    </row>
    <row r="15" customFormat="false" ht="15" hidden="false" customHeight="false" outlineLevel="0" collapsed="false">
      <c r="A15" s="9" t="s">
        <v>370</v>
      </c>
      <c r="B15" s="19" t="str">
        <f aca="false">INDEX(Evidence_Log!$B:$B,MATCH(A15,Evidence_Log!$A:$A,0))</f>
        <v>SRC-01</v>
      </c>
      <c r="C15" s="6" t="s">
        <v>471</v>
      </c>
      <c r="D15" s="6" t="s">
        <v>114</v>
      </c>
      <c r="E15" s="6" t="s">
        <v>204</v>
      </c>
      <c r="F15" s="6" t="s">
        <v>69</v>
      </c>
      <c r="G15" s="19" t="str">
        <f aca="false">IFERROR(INDEX(Taxonomy!$H:$H,MATCH(D15,Taxonomy!$C:$C,0)),"Cross-cutting")</f>
        <v>Sustainable use of nature; farming (indicative)</v>
      </c>
      <c r="H15" s="6" t="s">
        <v>462</v>
      </c>
      <c r="I15" s="9" t="s">
        <v>478</v>
      </c>
    </row>
    <row r="16" customFormat="false" ht="23.85" hidden="false" customHeight="false" outlineLevel="0" collapsed="false">
      <c r="A16" s="9" t="s">
        <v>373</v>
      </c>
      <c r="B16" s="19" t="str">
        <f aca="false">INDEX(Evidence_Log!$B:$B,MATCH(A16,Evidence_Log!$A:$A,0))</f>
        <v>SRC-01</v>
      </c>
      <c r="C16" s="6" t="s">
        <v>471</v>
      </c>
      <c r="D16" s="6" t="s">
        <v>128</v>
      </c>
      <c r="E16" s="6" t="s">
        <v>476</v>
      </c>
      <c r="F16" s="6" t="s">
        <v>96</v>
      </c>
      <c r="G16" s="19" t="str">
        <f aca="false">IFERROR(INDEX(Taxonomy!$H:$H,MATCH(D16,Taxonomy!$C:$C,0)),"Cross-cutting")</f>
        <v>Thriving plants and wildlife; nature in development (indicative)</v>
      </c>
      <c r="H16" s="6" t="s">
        <v>462</v>
      </c>
      <c r="I16" s="9" t="s">
        <v>479</v>
      </c>
    </row>
    <row r="17" customFormat="false" ht="15" hidden="false" customHeight="false" outlineLevel="0" collapsed="false">
      <c r="A17" s="9" t="s">
        <v>376</v>
      </c>
      <c r="B17" s="19" t="str">
        <f aca="false">INDEX(Evidence_Log!$B:$B,MATCH(A17,Evidence_Log!$A:$A,0))</f>
        <v>SRC-01</v>
      </c>
      <c r="C17" s="6" t="s">
        <v>471</v>
      </c>
      <c r="D17" s="6" t="s">
        <v>473</v>
      </c>
      <c r="E17" s="6" t="s">
        <v>69</v>
      </c>
      <c r="F17" s="6" t="s">
        <v>69</v>
      </c>
      <c r="G17" s="19" t="str">
        <f aca="false">IFERROR(INDEX(Taxonomy!$H:$H,MATCH(D17,Taxonomy!$C:$C,0)),"Cross-cutting")</f>
        <v>Cross-cutting</v>
      </c>
      <c r="H17" s="6" t="s">
        <v>465</v>
      </c>
      <c r="I17" s="9" t="s">
        <v>480</v>
      </c>
    </row>
    <row r="18" customFormat="false" ht="15" hidden="false" customHeight="false" outlineLevel="0" collapsed="false">
      <c r="A18" s="9" t="s">
        <v>380</v>
      </c>
      <c r="B18" s="19" t="str">
        <f aca="false">INDEX(Evidence_Log!$B:$B,MATCH(A18,Evidence_Log!$A:$A,0))</f>
        <v>SRC-01</v>
      </c>
      <c r="C18" s="6" t="s">
        <v>471</v>
      </c>
      <c r="D18" s="6" t="s">
        <v>96</v>
      </c>
      <c r="E18" s="6" t="s">
        <v>297</v>
      </c>
      <c r="F18" s="6" t="s">
        <v>69</v>
      </c>
      <c r="G18" s="19" t="str">
        <f aca="false">IFERROR(INDEX(Taxonomy!$H:$H,MATCH(D18,Taxonomy!$C:$C,0)),"Cross-cutting")</f>
        <v>Goal 3: Water (indicative)</v>
      </c>
      <c r="H18" s="6" t="s">
        <v>465</v>
      </c>
      <c r="I18" s="9" t="s">
        <v>481</v>
      </c>
    </row>
    <row r="19" customFormat="false" ht="15" hidden="false" customHeight="false" outlineLevel="0" collapsed="false">
      <c r="A19" s="9" t="s">
        <v>384</v>
      </c>
      <c r="B19" s="19" t="str">
        <f aca="false">INDEX(Evidence_Log!$B:$B,MATCH(A19,Evidence_Log!$A:$A,0))</f>
        <v>SRC-01</v>
      </c>
      <c r="C19" s="6" t="s">
        <v>471</v>
      </c>
      <c r="D19" s="6" t="s">
        <v>96</v>
      </c>
      <c r="E19" s="6" t="s">
        <v>305</v>
      </c>
      <c r="F19" s="6" t="s">
        <v>114</v>
      </c>
      <c r="G19" s="19" t="str">
        <f aca="false">IFERROR(INDEX(Taxonomy!$H:$H,MATCH(D19,Taxonomy!$C:$C,0)),"Cross-cutting")</f>
        <v>Goal 3: Water (indicative)</v>
      </c>
      <c r="H19" s="6" t="s">
        <v>465</v>
      </c>
      <c r="I19" s="9" t="s">
        <v>482</v>
      </c>
    </row>
    <row r="20" customFormat="false" ht="15" hidden="false" customHeight="false" outlineLevel="0" collapsed="false">
      <c r="A20" s="9" t="s">
        <v>388</v>
      </c>
      <c r="B20" s="19" t="str">
        <f aca="false">INDEX(Evidence_Log!$B:$B,MATCH(A20,Evidence_Log!$A:$A,0))</f>
        <v>SRC-02</v>
      </c>
      <c r="C20" s="6" t="s">
        <v>460</v>
      </c>
      <c r="D20" s="6" t="s">
        <v>473</v>
      </c>
      <c r="E20" s="6" t="s">
        <v>69</v>
      </c>
      <c r="F20" s="6" t="s">
        <v>155</v>
      </c>
      <c r="G20" s="19" t="str">
        <f aca="false">IFERROR(INDEX(Taxonomy!$H:$H,MATCH(D20,Taxonomy!$C:$C,0)),"Cross-cutting")</f>
        <v>Cross-cutting</v>
      </c>
      <c r="H20" s="6" t="s">
        <v>465</v>
      </c>
      <c r="I20" s="9" t="s">
        <v>483</v>
      </c>
    </row>
    <row r="21" customFormat="false" ht="15" hidden="false" customHeight="false" outlineLevel="0" collapsed="false">
      <c r="A21" s="9" t="s">
        <v>393</v>
      </c>
      <c r="B21" s="19" t="str">
        <f aca="false">INDEX(Evidence_Log!$B:$B,MATCH(A21,Evidence_Log!$A:$A,0))</f>
        <v>SRC-02</v>
      </c>
      <c r="C21" s="6" t="s">
        <v>460</v>
      </c>
      <c r="D21" s="6" t="s">
        <v>473</v>
      </c>
      <c r="E21" s="6" t="s">
        <v>69</v>
      </c>
      <c r="F21" s="6" t="s">
        <v>69</v>
      </c>
      <c r="G21" s="19" t="str">
        <f aca="false">IFERROR(INDEX(Taxonomy!$H:$H,MATCH(D21,Taxonomy!$C:$C,0)),"Cross-cutting")</f>
        <v>Cross-cutting</v>
      </c>
      <c r="H21" s="6" t="s">
        <v>465</v>
      </c>
      <c r="I21" s="9" t="s">
        <v>484</v>
      </c>
    </row>
    <row r="22" customFormat="false" ht="15" hidden="false" customHeight="false" outlineLevel="0" collapsed="false">
      <c r="A22" s="9" t="s">
        <v>396</v>
      </c>
      <c r="B22" s="19" t="str">
        <f aca="false">INDEX(Evidence_Log!$B:$B,MATCH(A22,Evidence_Log!$A:$A,0))</f>
        <v>SRC-02</v>
      </c>
      <c r="C22" s="6" t="s">
        <v>349</v>
      </c>
      <c r="D22" s="6" t="s">
        <v>155</v>
      </c>
      <c r="E22" s="6" t="s">
        <v>485</v>
      </c>
      <c r="F22" s="6" t="s">
        <v>145</v>
      </c>
      <c r="G22" s="19" t="str">
        <f aca="false">IFERROR(INDEX(Taxonomy!$H:$H,MATCH(D22,Taxonomy!$C:$C,0)),"Cross-cutting")</f>
        <v>Climate adaptation (indicative)</v>
      </c>
      <c r="H22" s="6" t="s">
        <v>462</v>
      </c>
      <c r="I22" s="9" t="s">
        <v>486</v>
      </c>
    </row>
    <row r="23" customFormat="false" ht="15" hidden="false" customHeight="false" outlineLevel="0" collapsed="false">
      <c r="A23" s="9" t="s">
        <v>399</v>
      </c>
      <c r="B23" s="19" t="str">
        <f aca="false">INDEX(Evidence_Log!$B:$B,MATCH(A23,Evidence_Log!$A:$A,0))</f>
        <v>SRC-02</v>
      </c>
      <c r="C23" s="6" t="s">
        <v>349</v>
      </c>
      <c r="D23" s="6" t="s">
        <v>102</v>
      </c>
      <c r="E23" s="6" t="s">
        <v>487</v>
      </c>
      <c r="F23" s="6" t="s">
        <v>145</v>
      </c>
      <c r="G23" s="19" t="str">
        <f aca="false">IFERROR(INDEX(Taxonomy!$H:$H,MATCH(D23,Taxonomy!$C:$C,0)),"Cross-cutting")</f>
        <v>Goal 3: Water (indicative)</v>
      </c>
      <c r="H23" s="6" t="s">
        <v>462</v>
      </c>
      <c r="I23" s="9" t="s">
        <v>488</v>
      </c>
    </row>
    <row r="24" customFormat="false" ht="23.85" hidden="false" customHeight="false" outlineLevel="0" collapsed="false">
      <c r="A24" s="9" t="s">
        <v>402</v>
      </c>
      <c r="B24" s="19" t="str">
        <f aca="false">INDEX(Evidence_Log!$B:$B,MATCH(A24,Evidence_Log!$A:$A,0))</f>
        <v>SRC-02</v>
      </c>
      <c r="C24" s="6" t="s">
        <v>349</v>
      </c>
      <c r="D24" s="6" t="s">
        <v>145</v>
      </c>
      <c r="E24" s="6" t="s">
        <v>223</v>
      </c>
      <c r="F24" s="6" t="s">
        <v>138</v>
      </c>
      <c r="G24" s="19" t="str">
        <f aca="false">IFERROR(INDEX(Taxonomy!$H:$H,MATCH(D24,Taxonomy!$C:$C,0)),"Cross-cutting")</f>
        <v>Climate adaptation; environmental hazards (indicative)</v>
      </c>
      <c r="H24" s="6" t="s">
        <v>462</v>
      </c>
      <c r="I24" s="9" t="s">
        <v>489</v>
      </c>
    </row>
    <row r="25" customFormat="false" ht="23.85" hidden="false" customHeight="false" outlineLevel="0" collapsed="false">
      <c r="A25" s="9" t="s">
        <v>406</v>
      </c>
      <c r="B25" s="19" t="str">
        <f aca="false">INDEX(Evidence_Log!$B:$B,MATCH(A25,Evidence_Log!$A:$A,0))</f>
        <v>SRC-02</v>
      </c>
      <c r="C25" s="6" t="s">
        <v>349</v>
      </c>
      <c r="D25" s="6" t="s">
        <v>138</v>
      </c>
      <c r="E25" s="6" t="s">
        <v>265</v>
      </c>
      <c r="F25" s="6" t="s">
        <v>114</v>
      </c>
      <c r="G25" s="19" t="str">
        <f aca="false">IFERROR(INDEX(Taxonomy!$H:$H,MATCH(D25,Taxonomy!$C:$C,0)),"Cross-cutting")</f>
        <v>Thriving plants and wildlife; habitat protection (indicative)</v>
      </c>
      <c r="H25" s="6" t="s">
        <v>465</v>
      </c>
      <c r="I25" s="9" t="s">
        <v>490</v>
      </c>
    </row>
    <row r="26" customFormat="false" ht="23.85" hidden="false" customHeight="false" outlineLevel="0" collapsed="false">
      <c r="A26" s="9" t="s">
        <v>409</v>
      </c>
      <c r="B26" s="19" t="str">
        <f aca="false">INDEX(Evidence_Log!$B:$B,MATCH(A26,Evidence_Log!$A:$A,0))</f>
        <v>SRC-02</v>
      </c>
      <c r="C26" s="6" t="s">
        <v>349</v>
      </c>
      <c r="D26" s="6" t="s">
        <v>151</v>
      </c>
      <c r="E26" s="6" t="s">
        <v>491</v>
      </c>
      <c r="F26" s="6" t="s">
        <v>145</v>
      </c>
      <c r="G26" s="19" t="str">
        <f aca="false">IFERROR(INDEX(Taxonomy!$H:$H,MATCH(D26,Taxonomy!$C:$C,0)),"Cross-cutting")</f>
        <v>Climate adaptation; environmental hazards (indicative)</v>
      </c>
      <c r="H26" s="6" t="s">
        <v>465</v>
      </c>
      <c r="I26" s="9" t="s">
        <v>492</v>
      </c>
    </row>
    <row r="27" customFormat="false" ht="15" hidden="false" customHeight="false" outlineLevel="0" collapsed="false">
      <c r="A27" s="9" t="s">
        <v>413</v>
      </c>
      <c r="B27" s="19" t="str">
        <f aca="false">INDEX(Evidence_Log!$B:$B,MATCH(A27,Evidence_Log!$A:$A,0))</f>
        <v>SRC-02</v>
      </c>
      <c r="C27" s="6" t="s">
        <v>460</v>
      </c>
      <c r="D27" s="6" t="s">
        <v>102</v>
      </c>
      <c r="E27" s="6" t="s">
        <v>313</v>
      </c>
      <c r="F27" s="6" t="s">
        <v>145</v>
      </c>
      <c r="G27" s="19" t="str">
        <f aca="false">IFERROR(INDEX(Taxonomy!$H:$H,MATCH(D27,Taxonomy!$C:$C,0)),"Cross-cutting")</f>
        <v>Goal 3: Water (indicative)</v>
      </c>
      <c r="H27" s="6" t="s">
        <v>462</v>
      </c>
      <c r="I27" s="9" t="s">
        <v>493</v>
      </c>
    </row>
    <row r="28" customFormat="false" ht="23.85" hidden="false" customHeight="false" outlineLevel="0" collapsed="false">
      <c r="A28" s="9" t="s">
        <v>418</v>
      </c>
      <c r="B28" s="19" t="str">
        <f aca="false">INDEX(Evidence_Log!$B:$B,MATCH(A28,Evidence_Log!$A:$A,0))</f>
        <v>SRC-02</v>
      </c>
      <c r="C28" s="6" t="s">
        <v>460</v>
      </c>
      <c r="D28" s="6" t="s">
        <v>138</v>
      </c>
      <c r="E28" s="6" t="s">
        <v>265</v>
      </c>
      <c r="F28" s="6" t="s">
        <v>102</v>
      </c>
      <c r="G28" s="19" t="str">
        <f aca="false">IFERROR(INDEX(Taxonomy!$H:$H,MATCH(D28,Taxonomy!$C:$C,0)),"Cross-cutting")</f>
        <v>Thriving plants and wildlife; habitat protection (indicative)</v>
      </c>
      <c r="H28" s="6" t="s">
        <v>462</v>
      </c>
      <c r="I28" s="9" t="s">
        <v>494</v>
      </c>
    </row>
    <row r="29" customFormat="false" ht="15" hidden="false" customHeight="false" outlineLevel="0" collapsed="false">
      <c r="A29" s="9" t="s">
        <v>421</v>
      </c>
      <c r="B29" s="19" t="str">
        <f aca="false">INDEX(Evidence_Log!$B:$B,MATCH(A29,Evidence_Log!$A:$A,0))</f>
        <v>SRC-02</v>
      </c>
      <c r="C29" s="6" t="s">
        <v>460</v>
      </c>
      <c r="D29" s="6" t="s">
        <v>155</v>
      </c>
      <c r="E29" s="6" t="s">
        <v>236</v>
      </c>
      <c r="F29" s="6" t="s">
        <v>145</v>
      </c>
      <c r="G29" s="19" t="str">
        <f aca="false">IFERROR(INDEX(Taxonomy!$H:$H,MATCH(D29,Taxonomy!$C:$C,0)),"Cross-cutting")</f>
        <v>Climate adaptation (indicative)</v>
      </c>
      <c r="H29" s="6" t="s">
        <v>462</v>
      </c>
      <c r="I29" s="9" t="s">
        <v>495</v>
      </c>
    </row>
    <row r="30" customFormat="false" ht="23.85" hidden="false" customHeight="false" outlineLevel="0" collapsed="false">
      <c r="A30" s="9" t="s">
        <v>425</v>
      </c>
      <c r="B30" s="19" t="str">
        <f aca="false">INDEX(Evidence_Log!$B:$B,MATCH(A30,Evidence_Log!$A:$A,0))</f>
        <v>SRC-02</v>
      </c>
      <c r="C30" s="6" t="s">
        <v>460</v>
      </c>
      <c r="D30" s="6" t="s">
        <v>138</v>
      </c>
      <c r="E30" s="6" t="s">
        <v>265</v>
      </c>
      <c r="F30" s="6" t="s">
        <v>133</v>
      </c>
      <c r="G30" s="19" t="str">
        <f aca="false">IFERROR(INDEX(Taxonomy!$H:$H,MATCH(D30,Taxonomy!$C:$C,0)),"Cross-cutting")</f>
        <v>Thriving plants and wildlife; habitat protection (indicative)</v>
      </c>
      <c r="H30" s="6" t="s">
        <v>462</v>
      </c>
      <c r="I30" s="9" t="s">
        <v>496</v>
      </c>
    </row>
    <row r="31" customFormat="false" ht="15" hidden="false" customHeight="false" outlineLevel="0" collapsed="false">
      <c r="A31" s="9" t="s">
        <v>428</v>
      </c>
      <c r="B31" s="19" t="str">
        <f aca="false">INDEX(Evidence_Log!$B:$B,MATCH(A31,Evidence_Log!$A:$A,0))</f>
        <v>SRC-02</v>
      </c>
      <c r="C31" s="6" t="s">
        <v>460</v>
      </c>
      <c r="D31" s="6" t="s">
        <v>155</v>
      </c>
      <c r="E31" s="6" t="s">
        <v>497</v>
      </c>
      <c r="F31" s="6" t="s">
        <v>128</v>
      </c>
      <c r="G31" s="19" t="str">
        <f aca="false">IFERROR(INDEX(Taxonomy!$H:$H,MATCH(D31,Taxonomy!$C:$C,0)),"Cross-cutting")</f>
        <v>Climate adaptation (indicative)</v>
      </c>
      <c r="H31" s="6" t="s">
        <v>462</v>
      </c>
      <c r="I31" s="9" t="s">
        <v>498</v>
      </c>
    </row>
    <row r="32" customFormat="false" ht="23.85" hidden="false" customHeight="false" outlineLevel="0" collapsed="false">
      <c r="A32" s="9" t="s">
        <v>432</v>
      </c>
      <c r="B32" s="19" t="str">
        <f aca="false">INDEX(Evidence_Log!$B:$B,MATCH(A32,Evidence_Log!$A:$A,0))</f>
        <v>SRC-02</v>
      </c>
      <c r="C32" s="6" t="s">
        <v>460</v>
      </c>
      <c r="D32" s="6" t="s">
        <v>128</v>
      </c>
      <c r="E32" s="6" t="s">
        <v>499</v>
      </c>
      <c r="F32" s="6" t="s">
        <v>90</v>
      </c>
      <c r="G32" s="19" t="str">
        <f aca="false">IFERROR(INDEX(Taxonomy!$H:$H,MATCH(D32,Taxonomy!$C:$C,0)),"Cross-cutting")</f>
        <v>Thriving plants and wildlife; nature in development (indicative)</v>
      </c>
      <c r="H32" s="6" t="s">
        <v>462</v>
      </c>
      <c r="I32" s="9" t="s">
        <v>500</v>
      </c>
    </row>
    <row r="33" customFormat="false" ht="15" hidden="false" customHeight="false" outlineLevel="0" collapsed="false">
      <c r="A33" s="9" t="s">
        <v>435</v>
      </c>
      <c r="B33" s="19" t="str">
        <f aca="false">INDEX(Evidence_Log!$B:$B,MATCH(A33,Evidence_Log!$A:$A,0))</f>
        <v>SRC-02</v>
      </c>
      <c r="C33" s="6" t="s">
        <v>460</v>
      </c>
      <c r="D33" s="6" t="s">
        <v>155</v>
      </c>
      <c r="E33" s="6" t="s">
        <v>236</v>
      </c>
      <c r="F33" s="6" t="s">
        <v>151</v>
      </c>
      <c r="G33" s="19" t="str">
        <f aca="false">IFERROR(INDEX(Taxonomy!$H:$H,MATCH(D33,Taxonomy!$C:$C,0)),"Cross-cutting")</f>
        <v>Climate adaptation (indicative)</v>
      </c>
      <c r="H33" s="6" t="s">
        <v>462</v>
      </c>
      <c r="I33" s="9" t="s">
        <v>501</v>
      </c>
    </row>
    <row r="34" customFormat="false" ht="15" hidden="false" customHeight="false" outlineLevel="0" collapsed="false">
      <c r="A34" s="9" t="s">
        <v>438</v>
      </c>
      <c r="B34" s="19" t="str">
        <f aca="false">INDEX(Evidence_Log!$B:$B,MATCH(A34,Evidence_Log!$A:$A,0))</f>
        <v>SRC-02</v>
      </c>
      <c r="C34" s="6" t="s">
        <v>471</v>
      </c>
      <c r="D34" s="6" t="s">
        <v>473</v>
      </c>
      <c r="E34" s="6" t="s">
        <v>69</v>
      </c>
      <c r="F34" s="6" t="s">
        <v>151</v>
      </c>
      <c r="G34" s="19" t="str">
        <f aca="false">IFERROR(INDEX(Taxonomy!$H:$H,MATCH(D34,Taxonomy!$C:$C,0)),"Cross-cutting")</f>
        <v>Cross-cutting</v>
      </c>
      <c r="H34" s="6" t="s">
        <v>465</v>
      </c>
      <c r="I34" s="9" t="s">
        <v>502</v>
      </c>
    </row>
    <row r="35" customFormat="false" ht="15" hidden="false" customHeight="false" outlineLevel="0" collapsed="false">
      <c r="A35" s="9" t="s">
        <v>442</v>
      </c>
      <c r="B35" s="19" t="str">
        <f aca="false">INDEX(Evidence_Log!$B:$B,MATCH(A35,Evidence_Log!$A:$A,0))</f>
        <v>SRC-02</v>
      </c>
      <c r="C35" s="6" t="s">
        <v>349</v>
      </c>
      <c r="D35" s="6" t="s">
        <v>90</v>
      </c>
      <c r="E35" s="6" t="s">
        <v>286</v>
      </c>
      <c r="F35" s="6" t="s">
        <v>102</v>
      </c>
      <c r="G35" s="19" t="str">
        <f aca="false">IFERROR(INDEX(Taxonomy!$H:$H,MATCH(D35,Taxonomy!$C:$C,0)),"Cross-cutting")</f>
        <v>Goal 3: Water (EY workbook, p.47)</v>
      </c>
      <c r="H35" s="6" t="s">
        <v>462</v>
      </c>
      <c r="I35" s="9" t="s">
        <v>503</v>
      </c>
    </row>
    <row r="36" customFormat="false" ht="15" hidden="false" customHeight="false" outlineLevel="0" collapsed="false">
      <c r="A36" s="9" t="s">
        <v>445</v>
      </c>
      <c r="B36" s="19" t="str">
        <f aca="false">INDEX(Evidence_Log!$B:$B,MATCH(A36,Evidence_Log!$A:$A,0))</f>
        <v>SRC-02</v>
      </c>
      <c r="C36" s="6" t="s">
        <v>349</v>
      </c>
      <c r="D36" s="6" t="s">
        <v>155</v>
      </c>
      <c r="E36" s="6" t="s">
        <v>485</v>
      </c>
      <c r="F36" s="6" t="s">
        <v>69</v>
      </c>
      <c r="G36" s="19" t="str">
        <f aca="false">IFERROR(INDEX(Taxonomy!$H:$H,MATCH(D36,Taxonomy!$C:$C,0)),"Cross-cutting")</f>
        <v>Climate adaptation (indicative)</v>
      </c>
      <c r="H36" s="6" t="s">
        <v>465</v>
      </c>
      <c r="I36" s="9" t="s">
        <v>504</v>
      </c>
    </row>
    <row r="37" customFormat="false" ht="23.85" hidden="false" customHeight="false" outlineLevel="0" collapsed="false">
      <c r="A37" s="9" t="s">
        <v>448</v>
      </c>
      <c r="B37" s="19" t="str">
        <f aca="false">INDEX(Evidence_Log!$B:$B,MATCH(A37,Evidence_Log!$A:$A,0))</f>
        <v>SRC-02</v>
      </c>
      <c r="C37" s="6" t="s">
        <v>471</v>
      </c>
      <c r="D37" s="6" t="s">
        <v>151</v>
      </c>
      <c r="E37" s="6" t="s">
        <v>491</v>
      </c>
      <c r="F37" s="6" t="s">
        <v>145</v>
      </c>
      <c r="G37" s="19" t="str">
        <f aca="false">IFERROR(INDEX(Taxonomy!$H:$H,MATCH(D37,Taxonomy!$C:$C,0)),"Cross-cutting")</f>
        <v>Climate adaptation; environmental hazards (indicative)</v>
      </c>
      <c r="H37" s="6" t="s">
        <v>465</v>
      </c>
      <c r="I37" s="9"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2"/>
    <col collapsed="false" customWidth="true" hidden="false" outlineLevel="0" max="4" min="4" style="0" width="90"/>
  </cols>
  <sheetData>
    <row r="1" customFormat="false" ht="17.35" hidden="false" customHeight="false" outlineLevel="0" collapsed="false">
      <c r="A1" s="1" t="s">
        <v>506</v>
      </c>
    </row>
    <row r="4" customFormat="false" ht="15" hidden="false" customHeight="false" outlineLevel="0" collapsed="false">
      <c r="A4" s="20" t="s">
        <v>507</v>
      </c>
      <c r="B4" s="20" t="s">
        <v>508</v>
      </c>
      <c r="C4" s="20" t="s">
        <v>509</v>
      </c>
      <c r="D4" s="20" t="s">
        <v>510</v>
      </c>
    </row>
    <row r="5" customFormat="false" ht="15" hidden="false" customHeight="false" outlineLevel="0" collapsed="false">
      <c r="A5" s="5" t="s">
        <v>511</v>
      </c>
      <c r="B5" s="9" t="s">
        <v>512</v>
      </c>
      <c r="C5" s="21" t="n">
        <v>0.3</v>
      </c>
      <c r="D5" s="9" t="s">
        <v>513</v>
      </c>
    </row>
    <row r="6" customFormat="false" ht="23.85" hidden="false" customHeight="false" outlineLevel="0" collapsed="false">
      <c r="A6" s="5" t="s">
        <v>514</v>
      </c>
      <c r="B6" s="9" t="s">
        <v>515</v>
      </c>
      <c r="C6" s="21" t="n">
        <v>0.25</v>
      </c>
      <c r="D6" s="9" t="s">
        <v>516</v>
      </c>
    </row>
    <row r="7" customFormat="false" ht="15" hidden="false" customHeight="false" outlineLevel="0" collapsed="false">
      <c r="A7" s="5" t="s">
        <v>517</v>
      </c>
      <c r="B7" s="9" t="s">
        <v>518</v>
      </c>
      <c r="C7" s="21" t="n">
        <v>0.2</v>
      </c>
      <c r="D7" s="9" t="s">
        <v>519</v>
      </c>
    </row>
    <row r="8" customFormat="false" ht="15" hidden="false" customHeight="false" outlineLevel="0" collapsed="false">
      <c r="A8" s="5" t="s">
        <v>520</v>
      </c>
      <c r="B8" s="9" t="s">
        <v>521</v>
      </c>
      <c r="C8" s="21" t="n">
        <v>0.15</v>
      </c>
      <c r="D8" s="9" t="s">
        <v>522</v>
      </c>
    </row>
    <row r="9" customFormat="false" ht="15" hidden="false" customHeight="false" outlineLevel="0" collapsed="false">
      <c r="A9" s="5" t="s">
        <v>523</v>
      </c>
      <c r="B9" s="9" t="s">
        <v>524</v>
      </c>
      <c r="C9" s="21" t="n">
        <v>0.1</v>
      </c>
      <c r="D9" s="9" t="s">
        <v>525</v>
      </c>
    </row>
    <row r="10" customFormat="false" ht="15" hidden="false" customHeight="false" outlineLevel="0" collapsed="false">
      <c r="B10" s="5" t="s">
        <v>526</v>
      </c>
      <c r="C10" s="22" t="n">
        <f aca="false">SUM(C5:C9)</f>
        <v>1</v>
      </c>
    </row>
    <row r="12" customFormat="false" ht="15" hidden="false" customHeight="false" outlineLevel="0" collapsed="false">
      <c r="A12" s="5" t="s">
        <v>527</v>
      </c>
    </row>
    <row r="13" customFormat="false" ht="15" hidden="false" customHeight="false" outlineLevel="0" collapsed="false">
      <c r="B13" s="9" t="s">
        <v>528</v>
      </c>
      <c r="C13" s="23" t="n">
        <v>4</v>
      </c>
    </row>
    <row r="14" customFormat="false" ht="15" hidden="false" customHeight="false" outlineLevel="0" collapsed="false">
      <c r="B14" s="9" t="s">
        <v>529</v>
      </c>
      <c r="C14" s="23" t="n">
        <v>3</v>
      </c>
    </row>
    <row r="15" customFormat="false" ht="15" hidden="false" customHeight="false" outlineLevel="0" collapsed="false">
      <c r="B15" s="9" t="s">
        <v>530</v>
      </c>
      <c r="C15" s="9" t="s">
        <v>69</v>
      </c>
    </row>
    <row r="16" customFormat="false" ht="15" hidden="false" customHeight="false" outlineLevel="0" collapsed="false">
      <c r="D16" s="7" t="s">
        <v>531</v>
      </c>
    </row>
    <row r="18" customFormat="false" ht="23.85" hidden="false" customHeight="false" outlineLevel="0" collapsed="false">
      <c r="A18" s="5" t="s">
        <v>532</v>
      </c>
    </row>
    <row r="19" customFormat="false" ht="23.85" hidden="false" customHeight="false" outlineLevel="0" collapsed="false">
      <c r="D19" s="9" t="s">
        <v>533</v>
      </c>
    </row>
    <row r="21" customFormat="false" ht="15" hidden="false" customHeight="false" outlineLevel="0" collapsed="false">
      <c r="A21" s="5" t="s">
        <v>534</v>
      </c>
      <c r="B21" s="9" t="s">
        <v>535</v>
      </c>
      <c r="C21" s="5" t="s">
        <v>536</v>
      </c>
    </row>
    <row r="22" customFormat="false" ht="15" hidden="false" customHeight="false" outlineLevel="0" collapsed="false">
      <c r="B22" s="24" t="n">
        <v>4</v>
      </c>
      <c r="C22" s="24" t="n">
        <v>5</v>
      </c>
    </row>
    <row r="23" customFormat="false" ht="15" hidden="false" customHeight="false" outlineLevel="0" collapsed="false">
      <c r="B23" s="24" t="n">
        <v>3</v>
      </c>
      <c r="C23" s="24" t="n">
        <v>4</v>
      </c>
    </row>
    <row r="24" customFormat="false" ht="15" hidden="false" customHeight="false" outlineLevel="0" collapsed="false">
      <c r="B24" s="24" t="n">
        <v>2</v>
      </c>
      <c r="C24" s="24" t="n">
        <v>3</v>
      </c>
    </row>
    <row r="25" customFormat="false" ht="15" hidden="false" customHeight="false" outlineLevel="0" collapsed="false">
      <c r="B25" s="24" t="n">
        <v>1</v>
      </c>
      <c r="C25" s="24" t="n">
        <v>2</v>
      </c>
    </row>
    <row r="26" customFormat="false" ht="15" hidden="false" customHeight="false" outlineLevel="0" collapsed="false">
      <c r="B26" s="24" t="n">
        <v>0</v>
      </c>
      <c r="C26" s="24" t="n">
        <v>1</v>
      </c>
    </row>
    <row r="28" customFormat="false" ht="23.85" hidden="false" customHeight="false" outlineLevel="0" collapsed="false">
      <c r="A28" s="5" t="s">
        <v>537</v>
      </c>
      <c r="B28" s="5" t="s">
        <v>538</v>
      </c>
    </row>
    <row r="29" customFormat="false" ht="15" hidden="false" customHeight="false" outlineLevel="0" collapsed="false">
      <c r="B29" s="9" t="s">
        <v>539</v>
      </c>
      <c r="C29" s="23" t="n">
        <v>10</v>
      </c>
    </row>
    <row r="30" customFormat="false" ht="15" hidden="false" customHeight="false" outlineLevel="0" collapsed="false">
      <c r="B30" s="9" t="s">
        <v>540</v>
      </c>
      <c r="C30" s="23" t="n">
        <v>3</v>
      </c>
    </row>
    <row r="31" customFormat="false" ht="15" hidden="false" customHeight="false" outlineLevel="0" collapsed="false">
      <c r="B31" s="9" t="s">
        <v>541</v>
      </c>
      <c r="C31" s="23" t="n">
        <v>1</v>
      </c>
    </row>
    <row r="32" customFormat="false" ht="15" hidden="false" customHeight="false" outlineLevel="0" collapsed="false">
      <c r="B32" s="9" t="s">
        <v>542</v>
      </c>
      <c r="C32" s="23" t="n">
        <v>0.1</v>
      </c>
    </row>
    <row r="33" customFormat="false" ht="15" hidden="false" customHeight="false" outlineLevel="0" collapsed="false">
      <c r="B33" s="9" t="s">
        <v>543</v>
      </c>
      <c r="C33" s="9" t="s">
        <v>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6"/>
    <col collapsed="false" customWidth="true" hidden="false" outlineLevel="0" max="4" min="4" style="0" width="30"/>
    <col collapsed="false" customWidth="true" hidden="false" outlineLevel="0" max="7" min="5" style="0" width="10"/>
    <col collapsed="false" customWidth="true" hidden="false" outlineLevel="0" max="8" min="8" style="0" width="12"/>
    <col collapsed="false" customWidth="true" hidden="false" outlineLevel="0" max="9" min="9" style="0" width="11"/>
    <col collapsed="false" customWidth="true" hidden="false" outlineLevel="0" max="10" min="10" style="0" width="10"/>
    <col collapsed="false" customWidth="true" hidden="false" outlineLevel="0" max="11" min="11" style="0" width="9"/>
    <col collapsed="false" customWidth="true" hidden="false" outlineLevel="0" max="12" min="12" style="0" width="11"/>
    <col collapsed="false" customWidth="true" hidden="false" outlineLevel="0" max="15" min="13" style="0" width="10"/>
    <col collapsed="false" customWidth="true" hidden="false" outlineLevel="0" max="16" min="16" style="0" width="26"/>
    <col collapsed="false" customWidth="true" hidden="false" outlineLevel="0" max="17" min="17" style="0" width="80"/>
    <col collapsed="false" customWidth="true" hidden="true" outlineLevel="0" max="18" min="18" style="0" width="12"/>
  </cols>
  <sheetData>
    <row r="1" customFormat="false" ht="17.35" hidden="false" customHeight="false" outlineLevel="0" collapsed="false">
      <c r="A1" s="1" t="s">
        <v>545</v>
      </c>
    </row>
    <row r="2" customFormat="false" ht="15" hidden="false" customHeight="false" outlineLevel="0" collapsed="false">
      <c r="A2" s="10" t="s">
        <v>546</v>
      </c>
    </row>
    <row r="4" customFormat="false" ht="46.25" hidden="false" customHeight="false" outlineLevel="0" collapsed="false">
      <c r="A4" s="4" t="s">
        <v>547</v>
      </c>
      <c r="B4" s="4" t="s">
        <v>79</v>
      </c>
      <c r="C4" s="4" t="s">
        <v>78</v>
      </c>
      <c r="D4" s="4" t="s">
        <v>80</v>
      </c>
      <c r="E4" s="4" t="s">
        <v>548</v>
      </c>
      <c r="F4" s="4" t="s">
        <v>549</v>
      </c>
      <c r="G4" s="4" t="s">
        <v>550</v>
      </c>
      <c r="H4" s="4" t="s">
        <v>551</v>
      </c>
      <c r="I4" s="4" t="s">
        <v>552</v>
      </c>
      <c r="J4" s="4" t="s">
        <v>553</v>
      </c>
      <c r="K4" s="4" t="s">
        <v>554</v>
      </c>
      <c r="L4" s="4" t="s">
        <v>532</v>
      </c>
      <c r="M4" s="4" t="s">
        <v>555</v>
      </c>
      <c r="N4" s="4" t="s">
        <v>556</v>
      </c>
      <c r="O4" s="4" t="s">
        <v>557</v>
      </c>
      <c r="P4" s="4" t="s">
        <v>558</v>
      </c>
      <c r="Q4" s="4" t="s">
        <v>459</v>
      </c>
      <c r="R4" s="4" t="s">
        <v>559</v>
      </c>
    </row>
    <row r="5" customFormat="false" ht="35.05" hidden="false" customHeight="false" outlineLevel="0" collapsed="false">
      <c r="A5" s="9" t="n">
        <f aca="false">RANK(R5,$R$5:$R$19)</f>
        <v>1</v>
      </c>
      <c r="B5" s="9" t="s">
        <v>145</v>
      </c>
      <c r="C5" s="19" t="str">
        <f aca="false">Taxonomy!B14</f>
        <v>Disaster management and adaptation</v>
      </c>
      <c r="D5" s="19" t="str">
        <f aca="false">Taxonomy!D14</f>
        <v>Risk reduction and prevention</v>
      </c>
      <c r="E5" s="6" t="n">
        <v>5</v>
      </c>
      <c r="F5" s="6" t="n">
        <v>3</v>
      </c>
      <c r="G5" s="13" t="n">
        <f aca="false">IF(Taxonomy!I14&gt;=Rubric!$B$22,Rubric!$C$22,IF(Taxonomy!I14&gt;=Rubric!$B$23,Rubric!$C$23,IF(Taxonomy!I14&gt;=Rubric!$B$24,Rubric!$C$24,IF(Taxonomy!I14&gt;=Rubric!$B$25,Rubric!$C$25,Rubric!$C$26))))</f>
        <v>5</v>
      </c>
      <c r="H5" s="6" t="n">
        <v>5</v>
      </c>
      <c r="I5" s="11" t="n">
        <f aca="false">Taxonomy!K14</f>
        <v>5</v>
      </c>
      <c r="J5" s="25" t="n">
        <f aca="false">ROUND(E5*Rubric!$C$5+F5*Rubric!$C$6+G5*Rubric!$C$7+H5*Rubric!$C$8+I5*Rubric!$C$9+0.000000001,1)</f>
        <v>4.5</v>
      </c>
      <c r="K5" s="9" t="str">
        <f aca="false">IF(J5&gt;=Rubric!$C$13,"High",IF(J5&gt;=Rubric!$C$14,"Medium","Low"))</f>
        <v>High</v>
      </c>
      <c r="L5" s="9" t="str">
        <f aca="false">IF(M5=0,"Low",IF(AND(M5&gt;=3,N5&gt;=2,O5&gt;=1),"High","Medium"))</f>
        <v>Medium</v>
      </c>
      <c r="M5" s="9" t="n">
        <f aca="false">COUNTIFS(NBSAP_Mapping!$D$5:$D$37,B5,NBSAP_Mapping!$C$5:$C$37,"&lt;&gt;External driver")</f>
        <v>1</v>
      </c>
      <c r="N5" s="9" t="n">
        <f aca="false">(COUNTIFS(NBSAP_Mapping!$D$5:$D$37,B5,NBSAP_Mapping!$C$5:$C$37,"&lt;&gt;External driver",NBSAP_Mapping!$B$5:$B$37,"SRC-01")&gt;0)+(COUNTIFS(NBSAP_Mapping!$D$5:$D$37,B5,NBSAP_Mapping!$C$5:$C$37,"&lt;&gt;External driver",NBSAP_Mapping!$B$5:$B$37,"SRC-02")&gt;0)</f>
        <v>1</v>
      </c>
      <c r="O5" s="9" t="n">
        <f aca="false">COUNTIFS(NBSAP_Mapping!$D$5:$D$37,B5,NBSAP_Mapping!$C$5:$C$37,"&lt;&gt;External driver",NBSAP_Mapping!$H$5:$H$37,"Direct")</f>
        <v>1</v>
      </c>
      <c r="P5" s="9" t="s">
        <v>560</v>
      </c>
      <c r="Q5" s="9" t="s">
        <v>561</v>
      </c>
      <c r="R5" s="26" t="n">
        <f aca="false">J5*10000+E5*100+F5*10+MIN(M5,9)-ROW()/100000</f>
        <v>45530.99995</v>
      </c>
    </row>
    <row r="6" customFormat="false" ht="23.85" hidden="false" customHeight="false" outlineLevel="0" collapsed="false">
      <c r="A6" s="9" t="n">
        <f aca="false">RANK(R6,$R$5:$R$19)</f>
        <v>2</v>
      </c>
      <c r="B6" s="9" t="s">
        <v>138</v>
      </c>
      <c r="C6" s="19" t="str">
        <f aca="false">Taxonomy!B13</f>
        <v>Urban development and infrastructure</v>
      </c>
      <c r="D6" s="19" t="str">
        <f aca="false">Taxonomy!D13</f>
        <v>Land-use change and habitat protection</v>
      </c>
      <c r="E6" s="6" t="n">
        <v>3</v>
      </c>
      <c r="F6" s="6" t="n">
        <v>4</v>
      </c>
      <c r="G6" s="13" t="n">
        <f aca="false">IF(Taxonomy!I13&gt;=Rubric!$B$22,Rubric!$C$22,IF(Taxonomy!I13&gt;=Rubric!$B$23,Rubric!$C$23,IF(Taxonomy!I13&gt;=Rubric!$B$24,Rubric!$C$24,IF(Taxonomy!I13&gt;=Rubric!$B$25,Rubric!$C$25,Rubric!$C$26))))</f>
        <v>5</v>
      </c>
      <c r="H6" s="6" t="n">
        <v>5</v>
      </c>
      <c r="I6" s="11" t="n">
        <f aca="false">Taxonomy!K13</f>
        <v>5</v>
      </c>
      <c r="J6" s="25" t="n">
        <f aca="false">ROUND(E6*Rubric!$C$5+F6*Rubric!$C$6+G6*Rubric!$C$7+H6*Rubric!$C$8+I6*Rubric!$C$9+0.000000001,1)</f>
        <v>4.2</v>
      </c>
      <c r="K6" s="9" t="str">
        <f aca="false">IF(J6&gt;=Rubric!$C$13,"High",IF(J6&gt;=Rubric!$C$14,"Medium","Low"))</f>
        <v>High</v>
      </c>
      <c r="L6" s="9" t="str">
        <f aca="false">IF(M6=0,"Low",IF(AND(M6&gt;=3,N6&gt;=2,O6&gt;=1),"High","Medium"))</f>
        <v>High</v>
      </c>
      <c r="M6" s="9" t="n">
        <f aca="false">COUNTIFS(NBSAP_Mapping!$D$5:$D$37,B6,NBSAP_Mapping!$C$5:$C$37,"&lt;&gt;External driver")</f>
        <v>3</v>
      </c>
      <c r="N6" s="9" t="n">
        <f aca="false">(COUNTIFS(NBSAP_Mapping!$D$5:$D$37,B6,NBSAP_Mapping!$C$5:$C$37,"&lt;&gt;External driver",NBSAP_Mapping!$B$5:$B$37,"SRC-01")&gt;0)+(COUNTIFS(NBSAP_Mapping!$D$5:$D$37,B6,NBSAP_Mapping!$C$5:$C$37,"&lt;&gt;External driver",NBSAP_Mapping!$B$5:$B$37,"SRC-02")&gt;0)</f>
        <v>2</v>
      </c>
      <c r="O6" s="9" t="n">
        <f aca="false">COUNTIFS(NBSAP_Mapping!$D$5:$D$37,B6,NBSAP_Mapping!$C$5:$C$37,"&lt;&gt;External driver",NBSAP_Mapping!$H$5:$H$37,"Direct")</f>
        <v>2</v>
      </c>
      <c r="P6" s="9" t="s">
        <v>562</v>
      </c>
      <c r="Q6" s="9" t="s">
        <v>563</v>
      </c>
      <c r="R6" s="26" t="n">
        <f aca="false">J6*10000+E6*100+F6*10+MIN(M6,9)-ROW()/100000</f>
        <v>42342.99994</v>
      </c>
    </row>
    <row r="7" customFormat="false" ht="23.85" hidden="false" customHeight="false" outlineLevel="0" collapsed="false">
      <c r="A7" s="9" t="n">
        <f aca="false">RANK(R7,$R$5:$R$19)</f>
        <v>3</v>
      </c>
      <c r="B7" s="9" t="s">
        <v>102</v>
      </c>
      <c r="C7" s="19" t="str">
        <f aca="false">Taxonomy!B7</f>
        <v>Water</v>
      </c>
      <c r="D7" s="19" t="str">
        <f aca="false">Taxonomy!D7</f>
        <v>Water availability</v>
      </c>
      <c r="E7" s="6" t="n">
        <v>5</v>
      </c>
      <c r="F7" s="6" t="n">
        <v>3</v>
      </c>
      <c r="G7" s="13" t="n">
        <f aca="false">IF(Taxonomy!I7&gt;=Rubric!$B$22,Rubric!$C$22,IF(Taxonomy!I7&gt;=Rubric!$B$23,Rubric!$C$23,IF(Taxonomy!I7&gt;=Rubric!$B$24,Rubric!$C$24,IF(Taxonomy!I7&gt;=Rubric!$B$25,Rubric!$C$25,Rubric!$C$26))))</f>
        <v>4</v>
      </c>
      <c r="H7" s="6" t="n">
        <v>4</v>
      </c>
      <c r="I7" s="11" t="n">
        <f aca="false">Taxonomy!K7</f>
        <v>3</v>
      </c>
      <c r="J7" s="25" t="n">
        <f aca="false">ROUND(E7*Rubric!$C$5+F7*Rubric!$C$6+G7*Rubric!$C$7+H7*Rubric!$C$8+I7*Rubric!$C$9+0.000000001,1)</f>
        <v>4</v>
      </c>
      <c r="K7" s="9" t="str">
        <f aca="false">IF(J7&gt;=Rubric!$C$13,"High",IF(J7&gt;=Rubric!$C$14,"Medium","Low"))</f>
        <v>High</v>
      </c>
      <c r="L7" s="9" t="str">
        <f aca="false">IF(M7=0,"Low",IF(AND(M7&gt;=3,N7&gt;=2,O7&gt;=1),"High","Medium"))</f>
        <v>Medium</v>
      </c>
      <c r="M7" s="9" t="n">
        <f aca="false">COUNTIFS(NBSAP_Mapping!$D$5:$D$37,B7,NBSAP_Mapping!$C$5:$C$37,"&lt;&gt;External driver")</f>
        <v>1</v>
      </c>
      <c r="N7" s="9" t="n">
        <f aca="false">(COUNTIFS(NBSAP_Mapping!$D$5:$D$37,B7,NBSAP_Mapping!$C$5:$C$37,"&lt;&gt;External driver",NBSAP_Mapping!$B$5:$B$37,"SRC-01")&gt;0)+(COUNTIFS(NBSAP_Mapping!$D$5:$D$37,B7,NBSAP_Mapping!$C$5:$C$37,"&lt;&gt;External driver",NBSAP_Mapping!$B$5:$B$37,"SRC-02")&gt;0)</f>
        <v>1</v>
      </c>
      <c r="O7" s="9" t="n">
        <f aca="false">COUNTIFS(NBSAP_Mapping!$D$5:$D$37,B7,NBSAP_Mapping!$C$5:$C$37,"&lt;&gt;External driver",NBSAP_Mapping!$H$5:$H$37,"Direct")</f>
        <v>1</v>
      </c>
      <c r="P7" s="9" t="s">
        <v>564</v>
      </c>
      <c r="Q7" s="9" t="s">
        <v>565</v>
      </c>
      <c r="R7" s="26" t="n">
        <f aca="false">J7*10000+E7*100+F7*10+MIN(M7,9)-ROW()/100000</f>
        <v>40530.99993</v>
      </c>
    </row>
    <row r="8" customFormat="false" ht="23.85" hidden="false" customHeight="false" outlineLevel="0" collapsed="false">
      <c r="A8" s="9" t="n">
        <f aca="false">RANK(R8,$R$5:$R$19)</f>
        <v>4</v>
      </c>
      <c r="B8" s="9" t="s">
        <v>114</v>
      </c>
      <c r="C8" s="19" t="str">
        <f aca="false">Taxonomy!B9</f>
        <v>Agriculture, forestry and fisheries</v>
      </c>
      <c r="D8" s="19" t="str">
        <f aca="false">Taxonomy!D9</f>
        <v>Sustainable agriculture</v>
      </c>
      <c r="E8" s="6" t="n">
        <v>5</v>
      </c>
      <c r="F8" s="6" t="n">
        <v>3</v>
      </c>
      <c r="G8" s="13" t="n">
        <f aca="false">IF(Taxonomy!I9&gt;=Rubric!$B$22,Rubric!$C$22,IF(Taxonomy!I9&gt;=Rubric!$B$23,Rubric!$C$23,IF(Taxonomy!I9&gt;=Rubric!$B$24,Rubric!$C$24,IF(Taxonomy!I9&gt;=Rubric!$B$25,Rubric!$C$25,Rubric!$C$26))))</f>
        <v>3</v>
      </c>
      <c r="H8" s="6" t="n">
        <v>4</v>
      </c>
      <c r="I8" s="11" t="n">
        <f aca="false">Taxonomy!K9</f>
        <v>4</v>
      </c>
      <c r="J8" s="25" t="n">
        <f aca="false">ROUND(E8*Rubric!$C$5+F8*Rubric!$C$6+G8*Rubric!$C$7+H8*Rubric!$C$8+I8*Rubric!$C$9+0.000000001,1)</f>
        <v>3.9</v>
      </c>
      <c r="K8" s="9" t="str">
        <f aca="false">IF(J8&gt;=Rubric!$C$13,"High",IF(J8&gt;=Rubric!$C$14,"Medium","Low"))</f>
        <v>Medium</v>
      </c>
      <c r="L8" s="9" t="str">
        <f aca="false">IF(M8=0,"Low",IF(AND(M8&gt;=3,N8&gt;=2,O8&gt;=1),"High","Medium"))</f>
        <v>Medium</v>
      </c>
      <c r="M8" s="9" t="n">
        <f aca="false">COUNTIFS(NBSAP_Mapping!$D$5:$D$37,B8,NBSAP_Mapping!$C$5:$C$37,"&lt;&gt;External driver")</f>
        <v>3</v>
      </c>
      <c r="N8" s="9" t="n">
        <f aca="false">(COUNTIFS(NBSAP_Mapping!$D$5:$D$37,B8,NBSAP_Mapping!$C$5:$C$37,"&lt;&gt;External driver",NBSAP_Mapping!$B$5:$B$37,"SRC-01")&gt;0)+(COUNTIFS(NBSAP_Mapping!$D$5:$D$37,B8,NBSAP_Mapping!$C$5:$C$37,"&lt;&gt;External driver",NBSAP_Mapping!$B$5:$B$37,"SRC-02")&gt;0)</f>
        <v>1</v>
      </c>
      <c r="O8" s="9" t="n">
        <f aca="false">COUNTIFS(NBSAP_Mapping!$D$5:$D$37,B8,NBSAP_Mapping!$C$5:$C$37,"&lt;&gt;External driver",NBSAP_Mapping!$H$5:$H$37,"Direct")</f>
        <v>3</v>
      </c>
      <c r="P8" s="9" t="s">
        <v>566</v>
      </c>
      <c r="Q8" s="9" t="s">
        <v>567</v>
      </c>
      <c r="R8" s="26" t="n">
        <f aca="false">J8*10000+E8*100+F8*10+MIN(M8,9)-ROW()/100000</f>
        <v>39532.99992</v>
      </c>
    </row>
    <row r="9" customFormat="false" ht="23.85" hidden="false" customHeight="false" outlineLevel="0" collapsed="false">
      <c r="A9" s="9" t="n">
        <f aca="false">RANK(R9,$R$5:$R$19)</f>
        <v>5</v>
      </c>
      <c r="B9" s="9" t="s">
        <v>96</v>
      </c>
      <c r="C9" s="19" t="str">
        <f aca="false">Taxonomy!B6</f>
        <v>Water</v>
      </c>
      <c r="D9" s="19" t="str">
        <f aca="false">Taxonomy!D6</f>
        <v>Water quality</v>
      </c>
      <c r="E9" s="6" t="n">
        <v>3</v>
      </c>
      <c r="F9" s="6" t="n">
        <v>4</v>
      </c>
      <c r="G9" s="13" t="n">
        <f aca="false">IF(Taxonomy!I6&gt;=Rubric!$B$22,Rubric!$C$22,IF(Taxonomy!I6&gt;=Rubric!$B$23,Rubric!$C$23,IF(Taxonomy!I6&gt;=Rubric!$B$24,Rubric!$C$24,IF(Taxonomy!I6&gt;=Rubric!$B$25,Rubric!$C$25,Rubric!$C$26))))</f>
        <v>5</v>
      </c>
      <c r="H9" s="6" t="n">
        <v>4</v>
      </c>
      <c r="I9" s="11" t="n">
        <f aca="false">Taxonomy!K6</f>
        <v>4</v>
      </c>
      <c r="J9" s="25" t="n">
        <f aca="false">ROUND(E9*Rubric!$C$5+F9*Rubric!$C$6+G9*Rubric!$C$7+H9*Rubric!$C$8+I9*Rubric!$C$9+0.000000001,1)</f>
        <v>3.9</v>
      </c>
      <c r="K9" s="9" t="str">
        <f aca="false">IF(J9&gt;=Rubric!$C$13,"High",IF(J9&gt;=Rubric!$C$14,"Medium","Low"))</f>
        <v>Medium</v>
      </c>
      <c r="L9" s="9" t="str">
        <f aca="false">IF(M9=0,"Low",IF(AND(M9&gt;=3,N9&gt;=2,O9&gt;=1),"High","Medium"))</f>
        <v>Medium</v>
      </c>
      <c r="M9" s="9" t="n">
        <f aca="false">COUNTIFS(NBSAP_Mapping!$D$5:$D$37,B9,NBSAP_Mapping!$C$5:$C$37,"&lt;&gt;External driver")</f>
        <v>3</v>
      </c>
      <c r="N9" s="9" t="n">
        <f aca="false">(COUNTIFS(NBSAP_Mapping!$D$5:$D$37,B9,NBSAP_Mapping!$C$5:$C$37,"&lt;&gt;External driver",NBSAP_Mapping!$B$5:$B$37,"SRC-01")&gt;0)+(COUNTIFS(NBSAP_Mapping!$D$5:$D$37,B9,NBSAP_Mapping!$C$5:$C$37,"&lt;&gt;External driver",NBSAP_Mapping!$B$5:$B$37,"SRC-02")&gt;0)</f>
        <v>1</v>
      </c>
      <c r="O9" s="9" t="n">
        <f aca="false">COUNTIFS(NBSAP_Mapping!$D$5:$D$37,B9,NBSAP_Mapping!$C$5:$C$37,"&lt;&gt;External driver",NBSAP_Mapping!$H$5:$H$37,"Direct")</f>
        <v>0</v>
      </c>
      <c r="P9" s="9" t="s">
        <v>568</v>
      </c>
      <c r="Q9" s="9" t="s">
        <v>569</v>
      </c>
      <c r="R9" s="26" t="n">
        <f aca="false">J9*10000+E9*100+F9*10+MIN(M9,9)-ROW()/100000</f>
        <v>39342.99991</v>
      </c>
    </row>
    <row r="10" customFormat="false" ht="23.85" hidden="false" customHeight="false" outlineLevel="0" collapsed="false">
      <c r="A10" s="9" t="n">
        <f aca="false">RANK(R10,$R$5:$R$19)</f>
        <v>6</v>
      </c>
      <c r="B10" s="9" t="s">
        <v>90</v>
      </c>
      <c r="C10" s="19" t="str">
        <f aca="false">Taxonomy!B5</f>
        <v>Water</v>
      </c>
      <c r="D10" s="19" t="str">
        <f aca="false">Taxonomy!D5</f>
        <v>Water usage</v>
      </c>
      <c r="E10" s="6" t="n">
        <v>3</v>
      </c>
      <c r="F10" s="6" t="n">
        <v>4</v>
      </c>
      <c r="G10" s="13" t="n">
        <f aca="false">IF(Taxonomy!I5&gt;=Rubric!$B$22,Rubric!$C$22,IF(Taxonomy!I5&gt;=Rubric!$B$23,Rubric!$C$23,IF(Taxonomy!I5&gt;=Rubric!$B$24,Rubric!$C$24,IF(Taxonomy!I5&gt;=Rubric!$B$25,Rubric!$C$25,Rubric!$C$26))))</f>
        <v>5</v>
      </c>
      <c r="H10" s="6" t="n">
        <v>3</v>
      </c>
      <c r="I10" s="11" t="n">
        <f aca="false">Taxonomy!K5</f>
        <v>2</v>
      </c>
      <c r="J10" s="25" t="n">
        <f aca="false">ROUND(E10*Rubric!$C$5+F10*Rubric!$C$6+G10*Rubric!$C$7+H10*Rubric!$C$8+I10*Rubric!$C$9+0.000000001,1)</f>
        <v>3.6</v>
      </c>
      <c r="K10" s="9" t="str">
        <f aca="false">IF(J10&gt;=Rubric!$C$13,"High",IF(J10&gt;=Rubric!$C$14,"Medium","Low"))</f>
        <v>Medium</v>
      </c>
      <c r="L10" s="9" t="str">
        <f aca="false">IF(M10=0,"Low",IF(AND(M10&gt;=3,N10&gt;=2,O10&gt;=1),"High","Medium"))</f>
        <v>Low</v>
      </c>
      <c r="M10" s="9" t="n">
        <f aca="false">COUNTIFS(NBSAP_Mapping!$D$5:$D$37,B10,NBSAP_Mapping!$C$5:$C$37,"&lt;&gt;External driver")</f>
        <v>0</v>
      </c>
      <c r="N10" s="9" t="n">
        <f aca="false">(COUNTIFS(NBSAP_Mapping!$D$5:$D$37,B10,NBSAP_Mapping!$C$5:$C$37,"&lt;&gt;External driver",NBSAP_Mapping!$B$5:$B$37,"SRC-01")&gt;0)+(COUNTIFS(NBSAP_Mapping!$D$5:$D$37,B10,NBSAP_Mapping!$C$5:$C$37,"&lt;&gt;External driver",NBSAP_Mapping!$B$5:$B$37,"SRC-02")&gt;0)</f>
        <v>0</v>
      </c>
      <c r="O10" s="9" t="n">
        <f aca="false">COUNTIFS(NBSAP_Mapping!$D$5:$D$37,B10,NBSAP_Mapping!$C$5:$C$37,"&lt;&gt;External driver",NBSAP_Mapping!$H$5:$H$37,"Direct")</f>
        <v>0</v>
      </c>
      <c r="P10" s="9" t="s">
        <v>570</v>
      </c>
      <c r="Q10" s="9" t="s">
        <v>571</v>
      </c>
      <c r="R10" s="26" t="n">
        <f aca="false">J10*10000+E10*100+F10*10+MIN(M10,9)-ROW()/100000</f>
        <v>36339.9999</v>
      </c>
    </row>
    <row r="11" customFormat="false" ht="23.85" hidden="false" customHeight="false" outlineLevel="0" collapsed="false">
      <c r="A11" s="9" t="n">
        <f aca="false">RANK(R11,$R$5:$R$19)</f>
        <v>7</v>
      </c>
      <c r="B11" s="9" t="s">
        <v>155</v>
      </c>
      <c r="C11" s="19" t="str">
        <f aca="false">Taxonomy!B16</f>
        <v>Disaster management and adaptation</v>
      </c>
      <c r="D11" s="19" t="str">
        <f aca="false">Taxonomy!D16</f>
        <v>Long-term adaptation and resilience</v>
      </c>
      <c r="E11" s="6" t="n">
        <v>5</v>
      </c>
      <c r="F11" s="6" t="n">
        <v>3</v>
      </c>
      <c r="G11" s="13" t="n">
        <f aca="false">IF(Taxonomy!I16&gt;=Rubric!$B$22,Rubric!$C$22,IF(Taxonomy!I16&gt;=Rubric!$B$23,Rubric!$C$23,IF(Taxonomy!I16&gt;=Rubric!$B$24,Rubric!$C$24,IF(Taxonomy!I16&gt;=Rubric!$B$25,Rubric!$C$25,Rubric!$C$26))))</f>
        <v>2</v>
      </c>
      <c r="H11" s="6" t="n">
        <v>5</v>
      </c>
      <c r="I11" s="11" t="n">
        <f aca="false">Taxonomy!K16</f>
        <v>1</v>
      </c>
      <c r="J11" s="25" t="n">
        <f aca="false">ROUND(E11*Rubric!$C$5+F11*Rubric!$C$6+G11*Rubric!$C$7+H11*Rubric!$C$8+I11*Rubric!$C$9+0.000000001,1)</f>
        <v>3.5</v>
      </c>
      <c r="K11" s="9" t="str">
        <f aca="false">IF(J11&gt;=Rubric!$C$13,"High",IF(J11&gt;=Rubric!$C$14,"Medium","Low"))</f>
        <v>Medium</v>
      </c>
      <c r="L11" s="9" t="str">
        <f aca="false">IF(M11=0,"Low",IF(AND(M11&gt;=3,N11&gt;=2,O11&gt;=1),"High","Medium"))</f>
        <v>Medium</v>
      </c>
      <c r="M11" s="9" t="n">
        <f aca="false">COUNTIFS(NBSAP_Mapping!$D$5:$D$37,B11,NBSAP_Mapping!$C$5:$C$37,"&lt;&gt;External driver")</f>
        <v>3</v>
      </c>
      <c r="N11" s="9" t="n">
        <f aca="false">(COUNTIFS(NBSAP_Mapping!$D$5:$D$37,B11,NBSAP_Mapping!$C$5:$C$37,"&lt;&gt;External driver",NBSAP_Mapping!$B$5:$B$37,"SRC-01")&gt;0)+(COUNTIFS(NBSAP_Mapping!$D$5:$D$37,B11,NBSAP_Mapping!$C$5:$C$37,"&lt;&gt;External driver",NBSAP_Mapping!$B$5:$B$37,"SRC-02")&gt;0)</f>
        <v>1</v>
      </c>
      <c r="O11" s="9" t="n">
        <f aca="false">COUNTIFS(NBSAP_Mapping!$D$5:$D$37,B11,NBSAP_Mapping!$C$5:$C$37,"&lt;&gt;External driver",NBSAP_Mapping!$H$5:$H$37,"Direct")</f>
        <v>3</v>
      </c>
      <c r="P11" s="9" t="s">
        <v>572</v>
      </c>
      <c r="Q11" s="9" t="s">
        <v>573</v>
      </c>
      <c r="R11" s="26" t="n">
        <f aca="false">J11*10000+E11*100+F11*10+MIN(M11,9)-ROW()/100000</f>
        <v>35532.99989</v>
      </c>
    </row>
    <row r="12" customFormat="false" ht="23.85" hidden="false" customHeight="false" outlineLevel="0" collapsed="false">
      <c r="A12" s="9" t="n">
        <f aca="false">RANK(R12,$R$5:$R$19)</f>
        <v>8</v>
      </c>
      <c r="B12" s="9" t="s">
        <v>151</v>
      </c>
      <c r="C12" s="19" t="str">
        <f aca="false">Taxonomy!B15</f>
        <v>Disaster management and adaptation</v>
      </c>
      <c r="D12" s="19" t="str">
        <f aca="false">Taxonomy!D15</f>
        <v>Flood mitigation</v>
      </c>
      <c r="E12" s="6" t="n">
        <v>4</v>
      </c>
      <c r="F12" s="6" t="n">
        <v>4</v>
      </c>
      <c r="G12" s="13" t="n">
        <f aca="false">IF(Taxonomy!I15&gt;=Rubric!$B$22,Rubric!$C$22,IF(Taxonomy!I15&gt;=Rubric!$B$23,Rubric!$C$23,IF(Taxonomy!I15&gt;=Rubric!$B$24,Rubric!$C$24,IF(Taxonomy!I15&gt;=Rubric!$B$25,Rubric!$C$25,Rubric!$C$26))))</f>
        <v>1</v>
      </c>
      <c r="H12" s="6" t="n">
        <v>5</v>
      </c>
      <c r="I12" s="11" t="n">
        <f aca="false">Taxonomy!K15</f>
        <v>1</v>
      </c>
      <c r="J12" s="25" t="n">
        <f aca="false">ROUND(E12*Rubric!$C$5+F12*Rubric!$C$6+G12*Rubric!$C$7+H12*Rubric!$C$8+I12*Rubric!$C$9+0.000000001,1)</f>
        <v>3.3</v>
      </c>
      <c r="K12" s="9" t="str">
        <f aca="false">IF(J12&gt;=Rubric!$C$13,"High",IF(J12&gt;=Rubric!$C$14,"Medium","Low"))</f>
        <v>Medium</v>
      </c>
      <c r="L12" s="9" t="str">
        <f aca="false">IF(M12=0,"Low",IF(AND(M12&gt;=3,N12&gt;=2,O12&gt;=1),"High","Medium"))</f>
        <v>Medium</v>
      </c>
      <c r="M12" s="9" t="n">
        <f aca="false">COUNTIFS(NBSAP_Mapping!$D$5:$D$37,B12,NBSAP_Mapping!$C$5:$C$37,"&lt;&gt;External driver")</f>
        <v>1</v>
      </c>
      <c r="N12" s="9" t="n">
        <f aca="false">(COUNTIFS(NBSAP_Mapping!$D$5:$D$37,B12,NBSAP_Mapping!$C$5:$C$37,"&lt;&gt;External driver",NBSAP_Mapping!$B$5:$B$37,"SRC-01")&gt;0)+(COUNTIFS(NBSAP_Mapping!$D$5:$D$37,B12,NBSAP_Mapping!$C$5:$C$37,"&lt;&gt;External driver",NBSAP_Mapping!$B$5:$B$37,"SRC-02")&gt;0)</f>
        <v>1</v>
      </c>
      <c r="O12" s="9" t="n">
        <f aca="false">COUNTIFS(NBSAP_Mapping!$D$5:$D$37,B12,NBSAP_Mapping!$C$5:$C$37,"&lt;&gt;External driver",NBSAP_Mapping!$H$5:$H$37,"Direct")</f>
        <v>0</v>
      </c>
      <c r="P12" s="9" t="s">
        <v>574</v>
      </c>
      <c r="Q12" s="9" t="s">
        <v>575</v>
      </c>
      <c r="R12" s="26" t="n">
        <f aca="false">J12*10000+E12*100+F12*10+MIN(M12,9)-ROW()/100000</f>
        <v>33440.99988</v>
      </c>
    </row>
    <row r="13" customFormat="false" ht="23.85" hidden="false" customHeight="false" outlineLevel="0" collapsed="false">
      <c r="A13" s="9" t="n">
        <f aca="false">RANK(R13,$R$5:$R$19)</f>
        <v>9</v>
      </c>
      <c r="B13" s="9" t="s">
        <v>128</v>
      </c>
      <c r="C13" s="19" t="str">
        <f aca="false">Taxonomy!B11</f>
        <v>Urban development and infrastructure</v>
      </c>
      <c r="D13" s="19" t="str">
        <f aca="false">Taxonomy!D11</f>
        <v>Nature-positive buildings</v>
      </c>
      <c r="E13" s="6" t="n">
        <v>4</v>
      </c>
      <c r="F13" s="6" t="n">
        <v>3</v>
      </c>
      <c r="G13" s="13" t="n">
        <f aca="false">IF(Taxonomy!I11&gt;=Rubric!$B$22,Rubric!$C$22,IF(Taxonomy!I11&gt;=Rubric!$B$23,Rubric!$C$23,IF(Taxonomy!I11&gt;=Rubric!$B$24,Rubric!$C$24,IF(Taxonomy!I11&gt;=Rubric!$B$25,Rubric!$C$25,Rubric!$C$26))))</f>
        <v>2</v>
      </c>
      <c r="H13" s="6" t="n">
        <v>4</v>
      </c>
      <c r="I13" s="11" t="n">
        <f aca="false">Taxonomy!K11</f>
        <v>1</v>
      </c>
      <c r="J13" s="25" t="n">
        <f aca="false">ROUND(E13*Rubric!$C$5+F13*Rubric!$C$6+G13*Rubric!$C$7+H13*Rubric!$C$8+I13*Rubric!$C$9+0.000000001,1)</f>
        <v>3.1</v>
      </c>
      <c r="K13" s="9" t="str">
        <f aca="false">IF(J13&gt;=Rubric!$C$13,"High",IF(J13&gt;=Rubric!$C$14,"Medium","Low"))</f>
        <v>Medium</v>
      </c>
      <c r="L13" s="9" t="str">
        <f aca="false">IF(M13=0,"Low",IF(AND(M13&gt;=3,N13&gt;=2,O13&gt;=1),"High","Medium"))</f>
        <v>High</v>
      </c>
      <c r="M13" s="9" t="n">
        <f aca="false">COUNTIFS(NBSAP_Mapping!$D$5:$D$37,B13,NBSAP_Mapping!$C$5:$C$37,"&lt;&gt;External driver")</f>
        <v>3</v>
      </c>
      <c r="N13" s="9" t="n">
        <f aca="false">(COUNTIFS(NBSAP_Mapping!$D$5:$D$37,B13,NBSAP_Mapping!$C$5:$C$37,"&lt;&gt;External driver",NBSAP_Mapping!$B$5:$B$37,"SRC-01")&gt;0)+(COUNTIFS(NBSAP_Mapping!$D$5:$D$37,B13,NBSAP_Mapping!$C$5:$C$37,"&lt;&gt;External driver",NBSAP_Mapping!$B$5:$B$37,"SRC-02")&gt;0)</f>
        <v>2</v>
      </c>
      <c r="O13" s="9" t="n">
        <f aca="false">COUNTIFS(NBSAP_Mapping!$D$5:$D$37,B13,NBSAP_Mapping!$C$5:$C$37,"&lt;&gt;External driver",NBSAP_Mapping!$H$5:$H$37,"Direct")</f>
        <v>3</v>
      </c>
      <c r="P13" s="9" t="s">
        <v>576</v>
      </c>
      <c r="Q13" s="9" t="s">
        <v>577</v>
      </c>
      <c r="R13" s="26" t="n">
        <f aca="false">J13*10000+E13*100+F13*10+MIN(M13,9)-ROW()/100000</f>
        <v>31432.99987</v>
      </c>
    </row>
    <row r="14" customFormat="false" ht="23.85" hidden="false" customHeight="false" outlineLevel="0" collapsed="false">
      <c r="A14" s="9" t="n">
        <f aca="false">RANK(R14,$R$5:$R$19)</f>
        <v>10</v>
      </c>
      <c r="B14" s="9" t="s">
        <v>133</v>
      </c>
      <c r="C14" s="19" t="str">
        <f aca="false">Taxonomy!B12</f>
        <v>Urban development and infrastructure</v>
      </c>
      <c r="D14" s="19" t="str">
        <f aca="false">Taxonomy!D12</f>
        <v>Green-blue infrastructure, corridors and regeneration</v>
      </c>
      <c r="E14" s="6" t="n">
        <v>3</v>
      </c>
      <c r="F14" s="6" t="n">
        <v>4</v>
      </c>
      <c r="G14" s="13" t="n">
        <f aca="false">IF(Taxonomy!I12&gt;=Rubric!$B$22,Rubric!$C$22,IF(Taxonomy!I12&gt;=Rubric!$B$23,Rubric!$C$23,IF(Taxonomy!I12&gt;=Rubric!$B$24,Rubric!$C$24,IF(Taxonomy!I12&gt;=Rubric!$B$25,Rubric!$C$25,Rubric!$C$26))))</f>
        <v>1</v>
      </c>
      <c r="H14" s="6" t="n">
        <v>4</v>
      </c>
      <c r="I14" s="11" t="n">
        <f aca="false">Taxonomy!K12</f>
        <v>1</v>
      </c>
      <c r="J14" s="25" t="n">
        <f aca="false">ROUND(E14*Rubric!$C$5+F14*Rubric!$C$6+G14*Rubric!$C$7+H14*Rubric!$C$8+I14*Rubric!$C$9+0.000000001,1)</f>
        <v>2.8</v>
      </c>
      <c r="K14" s="9" t="str">
        <f aca="false">IF(J14&gt;=Rubric!$C$13,"High",IF(J14&gt;=Rubric!$C$14,"Medium","Low"))</f>
        <v>Low</v>
      </c>
      <c r="L14" s="9" t="str">
        <f aca="false">IF(M14=0,"Low",IF(AND(M14&gt;=3,N14&gt;=2,O14&gt;=1),"High","Medium"))</f>
        <v>Low</v>
      </c>
      <c r="M14" s="9" t="n">
        <f aca="false">COUNTIFS(NBSAP_Mapping!$D$5:$D$37,B14,NBSAP_Mapping!$C$5:$C$37,"&lt;&gt;External driver")</f>
        <v>0</v>
      </c>
      <c r="N14" s="9" t="n">
        <f aca="false">(COUNTIFS(NBSAP_Mapping!$D$5:$D$37,B14,NBSAP_Mapping!$C$5:$C$37,"&lt;&gt;External driver",NBSAP_Mapping!$B$5:$B$37,"SRC-01")&gt;0)+(COUNTIFS(NBSAP_Mapping!$D$5:$D$37,B14,NBSAP_Mapping!$C$5:$C$37,"&lt;&gt;External driver",NBSAP_Mapping!$B$5:$B$37,"SRC-02")&gt;0)</f>
        <v>0</v>
      </c>
      <c r="O14" s="9" t="n">
        <f aca="false">COUNTIFS(NBSAP_Mapping!$D$5:$D$37,B14,NBSAP_Mapping!$C$5:$C$37,"&lt;&gt;External driver",NBSAP_Mapping!$H$5:$H$37,"Direct")</f>
        <v>0</v>
      </c>
      <c r="P14" s="9" t="s">
        <v>578</v>
      </c>
      <c r="Q14" s="9" t="s">
        <v>579</v>
      </c>
      <c r="R14" s="26" t="n">
        <f aca="false">J14*10000+E14*100+F14*10+MIN(M14,9)-ROW()/100000</f>
        <v>28339.99986</v>
      </c>
    </row>
    <row r="15" customFormat="false" ht="23.85" hidden="false" customHeight="false" outlineLevel="0" collapsed="false">
      <c r="A15" s="9" t="n">
        <f aca="false">RANK(R15,$R$5:$R$19)</f>
        <v>11</v>
      </c>
      <c r="B15" s="9" t="s">
        <v>108</v>
      </c>
      <c r="C15" s="19" t="str">
        <f aca="false">Taxonomy!B8</f>
        <v>Agriculture, forestry and fisheries</v>
      </c>
      <c r="D15" s="19" t="str">
        <f aca="false">Taxonomy!D8</f>
        <v>Sustainable forestry</v>
      </c>
      <c r="E15" s="6" t="n">
        <v>2</v>
      </c>
      <c r="F15" s="6" t="n">
        <v>2</v>
      </c>
      <c r="G15" s="13" t="n">
        <f aca="false">IF(Taxonomy!I8&gt;=Rubric!$B$22,Rubric!$C$22,IF(Taxonomy!I8&gt;=Rubric!$B$23,Rubric!$C$23,IF(Taxonomy!I8&gt;=Rubric!$B$24,Rubric!$C$24,IF(Taxonomy!I8&gt;=Rubric!$B$25,Rubric!$C$25,Rubric!$C$26))))</f>
        <v>3</v>
      </c>
      <c r="H15" s="6" t="n">
        <v>3</v>
      </c>
      <c r="I15" s="11" t="n">
        <f aca="false">Taxonomy!K8</f>
        <v>3</v>
      </c>
      <c r="J15" s="25" t="n">
        <f aca="false">ROUND(E15*Rubric!$C$5+F15*Rubric!$C$6+G15*Rubric!$C$7+H15*Rubric!$C$8+I15*Rubric!$C$9+0.000000001,1)</f>
        <v>2.5</v>
      </c>
      <c r="K15" s="9" t="str">
        <f aca="false">IF(J15&gt;=Rubric!$C$13,"High",IF(J15&gt;=Rubric!$C$14,"Medium","Low"))</f>
        <v>Low</v>
      </c>
      <c r="L15" s="9" t="str">
        <f aca="false">IF(M15=0,"Low",IF(AND(M15&gt;=3,N15&gt;=2,O15&gt;=1),"High","Medium"))</f>
        <v>Low</v>
      </c>
      <c r="M15" s="9" t="n">
        <f aca="false">COUNTIFS(NBSAP_Mapping!$D$5:$D$37,B15,NBSAP_Mapping!$C$5:$C$37,"&lt;&gt;External driver")</f>
        <v>0</v>
      </c>
      <c r="N15" s="9" t="n">
        <f aca="false">(COUNTIFS(NBSAP_Mapping!$D$5:$D$37,B15,NBSAP_Mapping!$C$5:$C$37,"&lt;&gt;External driver",NBSAP_Mapping!$B$5:$B$37,"SRC-01")&gt;0)+(COUNTIFS(NBSAP_Mapping!$D$5:$D$37,B15,NBSAP_Mapping!$C$5:$C$37,"&lt;&gt;External driver",NBSAP_Mapping!$B$5:$B$37,"SRC-02")&gt;0)</f>
        <v>0</v>
      </c>
      <c r="O15" s="9" t="n">
        <f aca="false">COUNTIFS(NBSAP_Mapping!$D$5:$D$37,B15,NBSAP_Mapping!$C$5:$C$37,"&lt;&gt;External driver",NBSAP_Mapping!$H$5:$H$37,"Direct")</f>
        <v>0</v>
      </c>
      <c r="P15" s="9" t="s">
        <v>580</v>
      </c>
      <c r="Q15" s="9" t="s">
        <v>581</v>
      </c>
      <c r="R15" s="26" t="n">
        <f aca="false">J15*10000+E15*100+F15*10+MIN(M15,9)-ROW()/100000</f>
        <v>25219.99985</v>
      </c>
    </row>
    <row r="16" customFormat="false" ht="23.85" hidden="false" customHeight="false" outlineLevel="0" collapsed="false">
      <c r="A16" s="9" t="n">
        <f aca="false">RANK(R16,$R$5:$R$19)</f>
        <v>12</v>
      </c>
      <c r="B16" s="9" t="s">
        <v>172</v>
      </c>
      <c r="C16" s="19" t="str">
        <f aca="false">Taxonomy!B19</f>
        <v>Pollution and waste</v>
      </c>
      <c r="D16" s="19" t="str">
        <f aca="false">Taxonomy!D19</f>
        <v>Air pollution, disturbances &amp; noise pollution</v>
      </c>
      <c r="E16" s="6" t="n">
        <v>2</v>
      </c>
      <c r="F16" s="6" t="n">
        <v>2</v>
      </c>
      <c r="G16" s="13" t="n">
        <f aca="false">IF(Taxonomy!I19&gt;=Rubric!$B$22,Rubric!$C$22,IF(Taxonomy!I19&gt;=Rubric!$B$23,Rubric!$C$23,IF(Taxonomy!I19&gt;=Rubric!$B$24,Rubric!$C$24,IF(Taxonomy!I19&gt;=Rubric!$B$25,Rubric!$C$25,Rubric!$C$26))))</f>
        <v>3</v>
      </c>
      <c r="H16" s="6" t="n">
        <v>2</v>
      </c>
      <c r="I16" s="11" t="n">
        <f aca="false">Taxonomy!K19</f>
        <v>2</v>
      </c>
      <c r="J16" s="25" t="n">
        <f aca="false">ROUND(E16*Rubric!$C$5+F16*Rubric!$C$6+G16*Rubric!$C$7+H16*Rubric!$C$8+I16*Rubric!$C$9+0.000000001,1)</f>
        <v>2.2</v>
      </c>
      <c r="K16" s="9" t="str">
        <f aca="false">IF(J16&gt;=Rubric!$C$13,"High",IF(J16&gt;=Rubric!$C$14,"Medium","Low"))</f>
        <v>Low</v>
      </c>
      <c r="L16" s="9" t="str">
        <f aca="false">IF(M16=0,"Low",IF(AND(M16&gt;=3,N16&gt;=2,O16&gt;=1),"High","Medium"))</f>
        <v>Low</v>
      </c>
      <c r="M16" s="9" t="n">
        <f aca="false">COUNTIFS(NBSAP_Mapping!$D$5:$D$37,B16,NBSAP_Mapping!$C$5:$C$37,"&lt;&gt;External driver")</f>
        <v>0</v>
      </c>
      <c r="N16" s="9" t="n">
        <f aca="false">(COUNTIFS(NBSAP_Mapping!$D$5:$D$37,B16,NBSAP_Mapping!$C$5:$C$37,"&lt;&gt;External driver",NBSAP_Mapping!$B$5:$B$37,"SRC-01")&gt;0)+(COUNTIFS(NBSAP_Mapping!$D$5:$D$37,B16,NBSAP_Mapping!$C$5:$C$37,"&lt;&gt;External driver",NBSAP_Mapping!$B$5:$B$37,"SRC-02")&gt;0)</f>
        <v>0</v>
      </c>
      <c r="O16" s="9" t="n">
        <f aca="false">COUNTIFS(NBSAP_Mapping!$D$5:$D$37,B16,NBSAP_Mapping!$C$5:$C$37,"&lt;&gt;External driver",NBSAP_Mapping!$H$5:$H$37,"Direct")</f>
        <v>0</v>
      </c>
      <c r="P16" s="9" t="s">
        <v>69</v>
      </c>
      <c r="Q16" s="9" t="s">
        <v>582</v>
      </c>
      <c r="R16" s="26" t="n">
        <f aca="false">J16*10000+E16*100+F16*10+MIN(M16,9)-ROW()/100000</f>
        <v>22219.99984</v>
      </c>
    </row>
    <row r="17" customFormat="false" ht="15" hidden="false" customHeight="false" outlineLevel="0" collapsed="false">
      <c r="A17" s="9" t="n">
        <f aca="false">RANK(R17,$R$5:$R$19)</f>
        <v>13</v>
      </c>
      <c r="B17" s="9" t="s">
        <v>168</v>
      </c>
      <c r="C17" s="19" t="str">
        <f aca="false">Taxonomy!B18</f>
        <v>Pollution and waste</v>
      </c>
      <c r="D17" s="19" t="str">
        <f aca="false">Taxonomy!D18</f>
        <v>Waste &amp; circular economy</v>
      </c>
      <c r="E17" s="6" t="n">
        <v>1</v>
      </c>
      <c r="F17" s="6" t="n">
        <v>1</v>
      </c>
      <c r="G17" s="13" t="n">
        <f aca="false">IF(Taxonomy!I18&gt;=Rubric!$B$22,Rubric!$C$22,IF(Taxonomy!I18&gt;=Rubric!$B$23,Rubric!$C$23,IF(Taxonomy!I18&gt;=Rubric!$B$24,Rubric!$C$24,IF(Taxonomy!I18&gt;=Rubric!$B$25,Rubric!$C$25,Rubric!$C$26))))</f>
        <v>2</v>
      </c>
      <c r="H17" s="6" t="n">
        <v>1</v>
      </c>
      <c r="I17" s="11" t="n">
        <f aca="false">Taxonomy!K18</f>
        <v>5</v>
      </c>
      <c r="J17" s="25" t="n">
        <f aca="false">ROUND(E17*Rubric!$C$5+F17*Rubric!$C$6+G17*Rubric!$C$7+H17*Rubric!$C$8+I17*Rubric!$C$9+0.000000001,1)</f>
        <v>1.6</v>
      </c>
      <c r="K17" s="9" t="str">
        <f aca="false">IF(J17&gt;=Rubric!$C$13,"High",IF(J17&gt;=Rubric!$C$14,"Medium","Low"))</f>
        <v>Low</v>
      </c>
      <c r="L17" s="9" t="str">
        <f aca="false">IF(M17=0,"Low",IF(AND(M17&gt;=3,N17&gt;=2,O17&gt;=1),"High","Medium"))</f>
        <v>Low</v>
      </c>
      <c r="M17" s="9" t="n">
        <f aca="false">COUNTIFS(NBSAP_Mapping!$D$5:$D$37,B17,NBSAP_Mapping!$C$5:$C$37,"&lt;&gt;External driver")</f>
        <v>0</v>
      </c>
      <c r="N17" s="9" t="n">
        <f aca="false">(COUNTIFS(NBSAP_Mapping!$D$5:$D$37,B17,NBSAP_Mapping!$C$5:$C$37,"&lt;&gt;External driver",NBSAP_Mapping!$B$5:$B$37,"SRC-01")&gt;0)+(COUNTIFS(NBSAP_Mapping!$D$5:$D$37,B17,NBSAP_Mapping!$C$5:$C$37,"&lt;&gt;External driver",NBSAP_Mapping!$B$5:$B$37,"SRC-02")&gt;0)</f>
        <v>0</v>
      </c>
      <c r="O17" s="9" t="n">
        <f aca="false">COUNTIFS(NBSAP_Mapping!$D$5:$D$37,B17,NBSAP_Mapping!$C$5:$C$37,"&lt;&gt;External driver",NBSAP_Mapping!$H$5:$H$37,"Direct")</f>
        <v>0</v>
      </c>
      <c r="P17" s="9" t="s">
        <v>69</v>
      </c>
      <c r="Q17" s="9" t="s">
        <v>583</v>
      </c>
      <c r="R17" s="26" t="n">
        <f aca="false">J17*10000+E17*100+F17*10+MIN(M17,9)-ROW()/100000</f>
        <v>16109.99983</v>
      </c>
    </row>
    <row r="18" customFormat="false" ht="23.85" hidden="false" customHeight="false" outlineLevel="0" collapsed="false">
      <c r="A18" s="9" t="n">
        <f aca="false">RANK(R18,$R$5:$R$19)</f>
        <v>14</v>
      </c>
      <c r="B18" s="9" t="s">
        <v>120</v>
      </c>
      <c r="C18" s="19" t="str">
        <f aca="false">Taxonomy!B10</f>
        <v>Agriculture, forestry and fisheries</v>
      </c>
      <c r="D18" s="19" t="str">
        <f aca="false">Taxonomy!D10</f>
        <v>Sustainable fisheries and aquaculture</v>
      </c>
      <c r="E18" s="6" t="n">
        <v>1</v>
      </c>
      <c r="F18" s="6" t="n">
        <v>1</v>
      </c>
      <c r="G18" s="13" t="n">
        <f aca="false">IF(Taxonomy!I10&gt;=Rubric!$B$22,Rubric!$C$22,IF(Taxonomy!I10&gt;=Rubric!$B$23,Rubric!$C$23,IF(Taxonomy!I10&gt;=Rubric!$B$24,Rubric!$C$24,IF(Taxonomy!I10&gt;=Rubric!$B$25,Rubric!$C$25,Rubric!$C$26))))</f>
        <v>2</v>
      </c>
      <c r="H18" s="6" t="n">
        <v>1</v>
      </c>
      <c r="I18" s="11" t="n">
        <f aca="false">Taxonomy!K10</f>
        <v>2</v>
      </c>
      <c r="J18" s="25" t="n">
        <f aca="false">ROUND(E18*Rubric!$C$5+F18*Rubric!$C$6+G18*Rubric!$C$7+H18*Rubric!$C$8+I18*Rubric!$C$9+0.000000001,1)</f>
        <v>1.3</v>
      </c>
      <c r="K18" s="9" t="str">
        <f aca="false">IF(J18&gt;=Rubric!$C$13,"High",IF(J18&gt;=Rubric!$C$14,"Medium","Low"))</f>
        <v>Low</v>
      </c>
      <c r="L18" s="9" t="str">
        <f aca="false">IF(M18=0,"Low",IF(AND(M18&gt;=3,N18&gt;=2,O18&gt;=1),"High","Medium"))</f>
        <v>Low</v>
      </c>
      <c r="M18" s="9" t="n">
        <f aca="false">COUNTIFS(NBSAP_Mapping!$D$5:$D$37,B18,NBSAP_Mapping!$C$5:$C$37,"&lt;&gt;External driver")</f>
        <v>0</v>
      </c>
      <c r="N18" s="9" t="n">
        <f aca="false">(COUNTIFS(NBSAP_Mapping!$D$5:$D$37,B18,NBSAP_Mapping!$C$5:$C$37,"&lt;&gt;External driver",NBSAP_Mapping!$B$5:$B$37,"SRC-01")&gt;0)+(COUNTIFS(NBSAP_Mapping!$D$5:$D$37,B18,NBSAP_Mapping!$C$5:$C$37,"&lt;&gt;External driver",NBSAP_Mapping!$B$5:$B$37,"SRC-02")&gt;0)</f>
        <v>0</v>
      </c>
      <c r="O18" s="9" t="n">
        <f aca="false">COUNTIFS(NBSAP_Mapping!$D$5:$D$37,B18,NBSAP_Mapping!$C$5:$C$37,"&lt;&gt;External driver",NBSAP_Mapping!$H$5:$H$37,"Direct")</f>
        <v>0</v>
      </c>
      <c r="P18" s="9" t="s">
        <v>69</v>
      </c>
      <c r="Q18" s="9" t="s">
        <v>583</v>
      </c>
      <c r="R18" s="26" t="n">
        <f aca="false">J18*10000+E18*100+F18*10+MIN(M18,9)-ROW()/100000</f>
        <v>13109.99982</v>
      </c>
    </row>
    <row r="19" customFormat="false" ht="23.85" hidden="false" customHeight="false" outlineLevel="0" collapsed="false">
      <c r="A19" s="9" t="n">
        <f aca="false">RANK(R19,$R$5:$R$19)</f>
        <v>15</v>
      </c>
      <c r="B19" s="9" t="s">
        <v>162</v>
      </c>
      <c r="C19" s="19" t="str">
        <f aca="false">Taxonomy!B17</f>
        <v>Pollution and waste</v>
      </c>
      <c r="D19" s="19" t="str">
        <f aca="false">Taxonomy!D17</f>
        <v>Innovation in sustainable packaging and biodegradable materials</v>
      </c>
      <c r="E19" s="6" t="n">
        <v>1</v>
      </c>
      <c r="F19" s="6" t="n">
        <v>1</v>
      </c>
      <c r="G19" s="13" t="n">
        <f aca="false">IF(Taxonomy!I17&gt;=Rubric!$B$22,Rubric!$C$22,IF(Taxonomy!I17&gt;=Rubric!$B$23,Rubric!$C$23,IF(Taxonomy!I17&gt;=Rubric!$B$24,Rubric!$C$24,IF(Taxonomy!I17&gt;=Rubric!$B$25,Rubric!$C$25,Rubric!$C$26))))</f>
        <v>2</v>
      </c>
      <c r="H19" s="6" t="n">
        <v>1</v>
      </c>
      <c r="I19" s="11" t="n">
        <f aca="false">Taxonomy!K17</f>
        <v>2</v>
      </c>
      <c r="J19" s="25" t="n">
        <f aca="false">ROUND(E19*Rubric!$C$5+F19*Rubric!$C$6+G19*Rubric!$C$7+H19*Rubric!$C$8+I19*Rubric!$C$9+0.000000001,1)</f>
        <v>1.3</v>
      </c>
      <c r="K19" s="9" t="str">
        <f aca="false">IF(J19&gt;=Rubric!$C$13,"High",IF(J19&gt;=Rubric!$C$14,"Medium","Low"))</f>
        <v>Low</v>
      </c>
      <c r="L19" s="9" t="str">
        <f aca="false">IF(M19=0,"Low",IF(AND(M19&gt;=3,N19&gt;=2,O19&gt;=1),"High","Medium"))</f>
        <v>Low</v>
      </c>
      <c r="M19" s="9" t="n">
        <f aca="false">COUNTIFS(NBSAP_Mapping!$D$5:$D$37,B19,NBSAP_Mapping!$C$5:$C$37,"&lt;&gt;External driver")</f>
        <v>0</v>
      </c>
      <c r="N19" s="9" t="n">
        <f aca="false">(COUNTIFS(NBSAP_Mapping!$D$5:$D$37,B19,NBSAP_Mapping!$C$5:$C$37,"&lt;&gt;External driver",NBSAP_Mapping!$B$5:$B$37,"SRC-01")&gt;0)+(COUNTIFS(NBSAP_Mapping!$D$5:$D$37,B19,NBSAP_Mapping!$C$5:$C$37,"&lt;&gt;External driver",NBSAP_Mapping!$B$5:$B$37,"SRC-02")&gt;0)</f>
        <v>0</v>
      </c>
      <c r="O19" s="9" t="n">
        <f aca="false">COUNTIFS(NBSAP_Mapping!$D$5:$D$37,B19,NBSAP_Mapping!$C$5:$C$37,"&lt;&gt;External driver",NBSAP_Mapping!$H$5:$H$37,"Direct")</f>
        <v>0</v>
      </c>
      <c r="P19" s="9" t="s">
        <v>69</v>
      </c>
      <c r="Q19" s="9" t="s">
        <v>583</v>
      </c>
      <c r="R19" s="26" t="n">
        <f aca="false">J19*10000+E19*100+F19*10+MIN(M19,9)-ROW()/100000</f>
        <v>13109.99981</v>
      </c>
    </row>
  </sheetData>
  <dataValidations count="1">
    <dataValidation allowBlank="false" errorStyle="stop" operator="between" showDropDown="false" showErrorMessage="false" showInputMessage="false" sqref="E5:F19 H5:H1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45"/>
    <col collapsed="false" customWidth="true" hidden="false" outlineLevel="0" max="4" min="4" style="0" width="50"/>
    <col collapsed="false" customWidth="true" hidden="false" outlineLevel="0" max="6" min="5" style="0" width="45"/>
  </cols>
  <sheetData>
    <row r="1" customFormat="false" ht="17.35" hidden="false" customHeight="false" outlineLevel="0" collapsed="false">
      <c r="A1" s="1" t="s">
        <v>584</v>
      </c>
    </row>
    <row r="4" customFormat="false" ht="15" hidden="false" customHeight="false" outlineLevel="0" collapsed="false">
      <c r="A4" s="4" t="s">
        <v>585</v>
      </c>
      <c r="B4" s="4" t="s">
        <v>586</v>
      </c>
      <c r="C4" s="4" t="s">
        <v>587</v>
      </c>
      <c r="D4" s="4" t="s">
        <v>588</v>
      </c>
      <c r="E4" s="4" t="s">
        <v>589</v>
      </c>
      <c r="F4" s="4" t="s">
        <v>590</v>
      </c>
    </row>
    <row r="5" customFormat="false" ht="35.05" hidden="false" customHeight="false" outlineLevel="0" collapsed="false">
      <c r="A5" s="9" t="n">
        <v>1</v>
      </c>
      <c r="B5" s="9" t="s">
        <v>591</v>
      </c>
      <c r="C5" s="9" t="s">
        <v>592</v>
      </c>
      <c r="D5" s="9" t="s">
        <v>593</v>
      </c>
      <c r="E5" s="9" t="s">
        <v>594</v>
      </c>
      <c r="F5" s="9" t="s">
        <v>595</v>
      </c>
    </row>
    <row r="6" customFormat="false" ht="23.85" hidden="false" customHeight="false" outlineLevel="0" collapsed="false">
      <c r="A6" s="9" t="n">
        <v>2</v>
      </c>
      <c r="B6" s="9" t="s">
        <v>591</v>
      </c>
      <c r="C6" s="9" t="s">
        <v>596</v>
      </c>
      <c r="D6" s="9" t="s">
        <v>597</v>
      </c>
      <c r="E6" s="9" t="s">
        <v>598</v>
      </c>
      <c r="F6" s="9" t="s">
        <v>599</v>
      </c>
    </row>
    <row r="7" customFormat="false" ht="35.05" hidden="false" customHeight="false" outlineLevel="0" collapsed="false">
      <c r="A7" s="9" t="n">
        <v>3</v>
      </c>
      <c r="B7" s="9" t="s">
        <v>600</v>
      </c>
      <c r="C7" s="9" t="s">
        <v>601</v>
      </c>
      <c r="D7" s="9" t="s">
        <v>602</v>
      </c>
      <c r="E7" s="9" t="s">
        <v>603</v>
      </c>
      <c r="F7" s="9" t="s">
        <v>604</v>
      </c>
    </row>
    <row r="8" customFormat="false" ht="23.85" hidden="false" customHeight="false" outlineLevel="0" collapsed="false">
      <c r="A8" s="9" t="n">
        <v>4</v>
      </c>
      <c r="B8" s="9" t="s">
        <v>600</v>
      </c>
      <c r="C8" s="9" t="s">
        <v>605</v>
      </c>
      <c r="D8" s="9" t="s">
        <v>606</v>
      </c>
      <c r="E8" s="9" t="s">
        <v>607</v>
      </c>
      <c r="F8" s="9" t="s">
        <v>608</v>
      </c>
    </row>
    <row r="9" customFormat="false" ht="35.05" hidden="false" customHeight="false" outlineLevel="0" collapsed="false">
      <c r="A9" s="9" t="n">
        <v>5</v>
      </c>
      <c r="B9" s="9" t="s">
        <v>600</v>
      </c>
      <c r="C9" s="9" t="s">
        <v>609</v>
      </c>
      <c r="D9" s="9" t="s">
        <v>610</v>
      </c>
      <c r="E9" s="9" t="s">
        <v>611</v>
      </c>
      <c r="F9" s="9" t="s">
        <v>612</v>
      </c>
    </row>
    <row r="10" customFormat="false" ht="23.85" hidden="false" customHeight="false" outlineLevel="0" collapsed="false">
      <c r="A10" s="9" t="n">
        <v>6</v>
      </c>
      <c r="B10" s="9" t="s">
        <v>613</v>
      </c>
      <c r="C10" s="9" t="s">
        <v>614</v>
      </c>
      <c r="D10" s="9" t="s">
        <v>615</v>
      </c>
      <c r="E10" s="9" t="s">
        <v>616</v>
      </c>
      <c r="F10" s="9" t="s">
        <v>617</v>
      </c>
    </row>
    <row r="11" customFormat="false" ht="15" hidden="false" customHeight="false" outlineLevel="0" collapsed="false">
      <c r="A11" s="9" t="n">
        <v>7</v>
      </c>
      <c r="B11" s="9" t="s">
        <v>618</v>
      </c>
      <c r="C11" s="9" t="s">
        <v>619</v>
      </c>
      <c r="D11" s="9" t="s">
        <v>620</v>
      </c>
      <c r="E11" s="9" t="s">
        <v>621</v>
      </c>
      <c r="F11" s="9" t="s">
        <v>622</v>
      </c>
    </row>
    <row r="12" customFormat="false" ht="15" hidden="false" customHeight="false" outlineLevel="0" collapsed="false">
      <c r="A12" s="9" t="n">
        <v>8</v>
      </c>
      <c r="B12" s="9" t="s">
        <v>591</v>
      </c>
      <c r="C12" s="9" t="s">
        <v>623</v>
      </c>
      <c r="D12" s="9" t="s">
        <v>624</v>
      </c>
      <c r="E12" s="9" t="s">
        <v>625</v>
      </c>
      <c r="F12" s="9" t="s">
        <v>626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12"/>
    <col collapsed="false" customWidth="true" hidden="false" outlineLevel="0" max="4" min="4" style="0" width="70"/>
  </cols>
  <sheetData>
    <row r="1" customFormat="false" ht="17.35" hidden="false" customHeight="false" outlineLevel="0" collapsed="false">
      <c r="A1" s="1" t="s">
        <v>627</v>
      </c>
    </row>
    <row r="4" customFormat="false" ht="15" hidden="false" customHeight="false" outlineLevel="0" collapsed="false">
      <c r="A4" s="4" t="s">
        <v>585</v>
      </c>
      <c r="B4" s="4" t="s">
        <v>628</v>
      </c>
      <c r="C4" s="4" t="s">
        <v>629</v>
      </c>
      <c r="D4" s="4" t="s">
        <v>630</v>
      </c>
    </row>
    <row r="5" customFormat="false" ht="15" hidden="false" customHeight="false" outlineLevel="0" collapsed="false">
      <c r="A5" s="9" t="n">
        <v>1</v>
      </c>
      <c r="B5" s="9" t="s">
        <v>631</v>
      </c>
      <c r="C5" s="9" t="str">
        <f aca="false">IF(COUNTA(Scoring!B5:B19)=COUNTA(Taxonomy!C5:C19),"Pass","Fail")</f>
        <v>Pass</v>
      </c>
      <c r="D5" s="7" t="s">
        <v>632</v>
      </c>
    </row>
    <row r="6" customFormat="false" ht="15" hidden="false" customHeight="false" outlineLevel="0" collapsed="false">
      <c r="A6" s="9" t="n">
        <v>2</v>
      </c>
      <c r="B6" s="9" t="s">
        <v>633</v>
      </c>
      <c r="C6" s="9" t="str">
        <f aca="false">IF(COUNTBLANK(Evidence_Log!B5:D37)=0,"Pass","Fail")</f>
        <v>Pass</v>
      </c>
      <c r="D6" s="7" t="s">
        <v>632</v>
      </c>
    </row>
    <row r="7" customFormat="false" ht="15" hidden="false" customHeight="false" outlineLevel="0" collapsed="false">
      <c r="A7" s="9" t="n">
        <v>3</v>
      </c>
      <c r="B7" s="9" t="s">
        <v>634</v>
      </c>
      <c r="C7" s="9" t="s">
        <v>635</v>
      </c>
      <c r="D7" s="7" t="s">
        <v>636</v>
      </c>
    </row>
    <row r="8" customFormat="false" ht="15" hidden="false" customHeight="false" outlineLevel="0" collapsed="false">
      <c r="A8" s="9" t="n">
        <v>4</v>
      </c>
      <c r="B8" s="9" t="s">
        <v>637</v>
      </c>
      <c r="C8" s="9" t="str">
        <f aca="false">IF(ABS(Rubric!C10-1)&lt;0.0001,"Pass","Fail")</f>
        <v>Pass</v>
      </c>
      <c r="D8" s="7" t="s">
        <v>632</v>
      </c>
    </row>
    <row r="9" customFormat="false" ht="15" hidden="false" customHeight="false" outlineLevel="0" collapsed="false">
      <c r="A9" s="9" t="n">
        <v>5</v>
      </c>
      <c r="B9" s="9" t="s">
        <v>638</v>
      </c>
      <c r="C9" s="9" t="str">
        <f aca="false">IF(SUMPRODUCT((Scoring!E5:E19&lt;=2)*(Scoring!F5:F19&gt;2))=0,"Pass","Fail")</f>
        <v>Pass</v>
      </c>
      <c r="D9" s="7" t="s">
        <v>632</v>
      </c>
    </row>
    <row r="10" customFormat="false" ht="15" hidden="false" customHeight="false" outlineLevel="0" collapsed="false">
      <c r="A10" s="9" t="n">
        <v>6</v>
      </c>
      <c r="B10" s="9" t="s">
        <v>639</v>
      </c>
      <c r="C10" s="9" t="str">
        <f aca="false">IF(COUNTA(NBSAP_Mapping!A5:A37)=COUNTA(Evidence_Log!A5:A37),"Pass","Fail")</f>
        <v>Pass</v>
      </c>
      <c r="D10" s="7" t="s">
        <v>632</v>
      </c>
    </row>
    <row r="11" customFormat="false" ht="15" hidden="false" customHeight="false" outlineLevel="0" collapsed="false">
      <c r="A11" s="9" t="n">
        <v>7</v>
      </c>
      <c r="B11" s="9" t="s">
        <v>640</v>
      </c>
      <c r="C11" s="9" t="str">
        <f aca="false">IF(SUMPRODUCT(1/COUNTIF(Scoring!A5:A19,Scoring!A5:A19))=COUNTA(Scoring!A5:A19),"Pass","Fail")</f>
        <v>Pass</v>
      </c>
      <c r="D11" s="7" t="s">
        <v>632</v>
      </c>
    </row>
    <row r="12" customFormat="false" ht="15" hidden="false" customHeight="false" outlineLevel="0" collapsed="false">
      <c r="A12" s="9" t="n">
        <v>8</v>
      </c>
      <c r="B12" s="9" t="s">
        <v>641</v>
      </c>
      <c r="C12" s="9" t="s">
        <v>635</v>
      </c>
      <c r="D12" s="7" t="s">
        <v>642</v>
      </c>
    </row>
    <row r="13" customFormat="false" ht="15" hidden="false" customHeight="false" outlineLevel="0" collapsed="false">
      <c r="A13" s="9" t="n">
        <v>9</v>
      </c>
      <c r="B13" s="9" t="s">
        <v>643</v>
      </c>
      <c r="C13" s="9" t="s">
        <v>635</v>
      </c>
      <c r="D13" s="7" t="s">
        <v>644</v>
      </c>
    </row>
    <row r="14" customFormat="false" ht="57.45" hidden="false" customHeight="false" outlineLevel="0" collapsed="false">
      <c r="A14" s="9" t="n">
        <v>10</v>
      </c>
      <c r="B14" s="9" t="s">
        <v>645</v>
      </c>
      <c r="C14" s="9" t="str">
        <f aca="false">COUNTIF(Scoring!L5:L19,"Low")&amp;" sub-themes Low confidence – flagged on slide 2"</f>
        <v>7 sub-themes Low confidence – flagged on slide 2</v>
      </c>
      <c r="D14" s="7" t="s">
        <v>632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2026-10-07T19:50:31Z</dcterms:created>
  <dc:creator>openpyxl</dc:creator>
  <dc:description/>
  <dc:language>en-US</dc:language>
  <cp:lastModifiedBy/>
  <dcterms:modified xsi:type="dcterms:W3CDTF">2026-10-07T19:50:31Z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